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888b4cc26440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efa96593c4342a8"/>
    <x:sheet xmlns:r="http://schemas.openxmlformats.org/officeDocument/2006/relationships" name="Product Universe" sheetId="2" r:id="Rac973f2a209549d6"/>
    <x:sheet xmlns:r="http://schemas.openxmlformats.org/officeDocument/2006/relationships" name="SKU Detail" sheetId="3" r:id="R543dcb525fd141fd"/>
    <x:sheet xmlns:r="http://schemas.openxmlformats.org/officeDocument/2006/relationships" name="Product Families" sheetId="4" r:id="R66e8899d49114bb9"/>
    <x:sheet xmlns:r="http://schemas.openxmlformats.org/officeDocument/2006/relationships" name="Change Log" sheetId="5" r:id="Rbf9e112fc97049bf"/>
    <x:sheet xmlns:r="http://schemas.openxmlformats.org/officeDocument/2006/relationships" name="Source Registry" sheetId="6" r:id="R20593b4b5e2c4db9"/>
    <x:sheet xmlns:r="http://schemas.openxmlformats.org/officeDocument/2006/relationships" name="Entity Map" sheetId="7" r:id="R28249e6dc75543bb"/>
    <x:sheet xmlns:r="http://schemas.openxmlformats.org/officeDocument/2006/relationships" name="Coverage Gaps" sheetId="8" r:id="R3d39617add38440a"/>
    <x:sheet xmlns:r="http://schemas.openxmlformats.org/officeDocument/2006/relationships" name="Runbook" sheetId="9" r:id="Re57b7aee6f29447c"/>
    <x:sheet xmlns:r="http://schemas.openxmlformats.org/officeDocument/2006/relationships" name="Data Dictionary" sheetId="10" r:id="Rbafd13c1534e4c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@"/>
    <x:numFmt numFmtId="202" formatCode="0.0%"/>
    <x:numFmt numFmtId="203" formatCode="0.0&quot;%&quot;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74151"/>
      <x:name val="Carlito"/>
    </x:font>
    <x:font>
      <x:b/>
      <x:sz val="10"/>
      <x:color rgb="FF7C2D12"/>
      <x:name val="Carlito"/>
    </x:font>
    <x:font>
      <x:b/>
      <x:sz val="9"/>
      <x:color rgb="FF374151"/>
      <x:name val="Carlito"/>
    </x:font>
    <x:font>
      <x:b/>
      <x:sz val="18"/>
      <x:color rgb="FF003B67"/>
      <x:name val="Carlito"/>
    </x:font>
    <x:font>
      <x:b/>
      <x:sz val="10"/>
      <x:color rgb="FFFFFFFF"/>
      <x:name val="Carlito"/>
    </x:font>
    <x:font>
      <x:i/>
      <x:sz val="11"/>
      <x:color rgb="FF37415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05A9C"/>
      </x:patternFill>
    </x:fill>
    <x:fill>
      <x:patternFill patternType="solid">
        <x:fgColor rgb="FFEEF6FB"/>
      </x:patternFill>
    </x:fill>
    <x:fill>
      <x:patternFill patternType="solid">
        <x:fgColor rgb="FFFEF3C7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F3F4F6"/>
      </x:patternFill>
    </x:fill>
  </x:fills>
  <x:borders count="22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  <x:bottom/>
    </x:border>
    <x:border>
      <x:right/>
      <x:top/>
      <x:bottom/>
    </x:border>
    <x:border>
      <x:left/>
      <x:top/>
      <x:bottom/>
    </x:border>
    <x:border>
      <x:right/>
      <x:top/>
      <x:bottom/>
    </x:border>
  </x:borders>
  <x:cellStyleXfs count="1">
    <x:xf numFmtId="0" fontId="0" fillId="0" borderId="0"/>
  </x:cellStyleXfs>
  <x:cellXfs count="2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3" fillId="4" borderId="16" xfId="0" applyNumberFormat="1" applyFont="1" applyFill="1" applyBorder="1"/>
    <x:xf numFmtId="0" fontId="3" fillId="4" borderId="17" xfId="0" applyNumberFormat="1" applyFont="1" applyFill="1" applyBorder="1"/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3" fillId="4" borderId="13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14" xfId="0" applyNumberFormat="1" applyFont="1" applyFill="1" applyBorder="1" applyAlignment="1">
      <x:alignment vertical="center" wrapText="1"/>
    </x:xf>
    <x:xf numFmtId="0" fontId="3" fillId="4" borderId="15" xfId="0" applyNumberFormat="1" applyFont="1" applyFill="1" applyBorder="1" applyAlignment="1">
      <x:alignment vertical="center" wrapText="1"/>
    </x:xf>
    <x:xf numFmtId="0" fontId="3" fillId="4" borderId="16" xfId="0" applyNumberFormat="1" applyFont="1" applyFill="1" applyBorder="1" applyAlignment="1">
      <x:alignment vertical="center" wrapText="1"/>
    </x:xf>
    <x:xf numFmtId="0" fontId="3" fillId="4" borderId="17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8" xfId="0" applyNumberFormat="1" applyFont="1" applyFill="1" applyBorder="1"/>
    <x:xf numFmtId="0" fontId="4" fillId="5" borderId="19" xfId="0" applyNumberFormat="1" applyFont="1" applyFill="1" applyBorder="1"/>
    <x:xf numFmtId="0" fontId="4" fillId="5" borderId="18" xfId="0" applyNumberFormat="1" applyFont="1" applyFill="1" applyBorder="1" applyAlignment="1">
      <x:alignment horizontal="center"/>
    </x:xf>
    <x:xf numFmtId="0" fontId="4" fillId="5" borderId="19" xfId="0" applyNumberFormat="1" applyFont="1" applyFill="1" applyBorder="1" applyAlignment="1">
      <x:alignment horizontal="center"/>
    </x:xf>
    <x:xf numFmtId="0" fontId="4" fillId="5" borderId="18" xfId="0" applyNumberFormat="1" applyFont="1" applyFill="1" applyBorder="1" applyAlignment="1">
      <x:alignment horizontal="center" vertical="center"/>
    </x:xf>
    <x:xf numFmtId="0" fontId="4" fillId="5" borderId="19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20" xfId="0" applyNumberFormat="1" applyFont="1" applyFill="1" applyBorder="1"/>
    <x:xf numFmtId="0" fontId="4" fillId="5" borderId="21" xfId="0" applyNumberFormat="1" applyFont="1" applyFill="1" applyBorder="1"/>
    <x:xf numFmtId="0" fontId="4" fillId="5" borderId="20" xfId="0" applyNumberFormat="1" applyFont="1" applyFill="1" applyBorder="1" applyAlignment="1">
      <x:alignment horizontal="center"/>
    </x:xf>
    <x:xf numFmtId="0" fontId="4" fillId="5" borderId="21" xfId="0" applyNumberFormat="1" applyFont="1" applyFill="1" applyBorder="1" applyAlignment="1">
      <x:alignment horizontal="center"/>
    </x:xf>
    <x:xf numFmtId="0" fontId="4" fillId="5" borderId="20" xfId="0" applyNumberFormat="1" applyFont="1" applyFill="1" applyBorder="1" applyAlignment="1">
      <x:alignment horizontal="center" vertical="center"/>
    </x:xf>
    <x:xf numFmtId="0" fontId="4" fillId="5" borderId="2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4" xfId="0" applyNumberFormat="1" applyFont="1" applyFill="1" applyBorder="1"/>
    <x:xf numFmtId="0" fontId="5" fillId="6" borderId="7" xfId="0" applyNumberFormat="1" applyFont="1" applyFill="1" applyBorder="1"/>
    <x:xf numFmtId="0" fontId="5" fillId="6" borderId="9" xfId="0" applyNumberFormat="1" applyFont="1" applyFill="1" applyBorder="1"/>
    <x:xf numFmtId="0" fontId="5" fillId="6" borderId="2" xfId="0" applyNumberFormat="1" applyFont="1" applyFill="1" applyBorder="1" applyAlignment="1">
      <x:alignment horizontal="center"/>
    </x:xf>
    <x:xf numFmtId="0" fontId="5" fillId="6" borderId="4" xfId="0" applyNumberFormat="1" applyFont="1" applyFill="1" applyBorder="1" applyAlignment="1">
      <x:alignment horizontal="center"/>
    </x:xf>
    <x:xf numFmtId="0" fontId="5" fillId="6" borderId="7" xfId="0" applyNumberFormat="1" applyFont="1" applyFill="1" applyBorder="1" applyAlignment="1">
      <x:alignment horizontal="center"/>
    </x:xf>
    <x:xf numFmtId="0" fontId="5" fillId="6" borderId="9" xfId="0" applyNumberFormat="1" applyFont="1" applyFill="1" applyBorder="1" applyAlignment="1">
      <x:alignment horizontal="center"/>
    </x:xf>
    <x:xf numFmtId="0" fontId="5" fillId="6" borderId="2" xfId="0" applyNumberFormat="1" applyFont="1" applyFill="1" applyBorder="1" applyAlignment="1">
      <x:alignment horizontal="center" vertical="center"/>
    </x:xf>
    <x:xf numFmtId="0" fontId="5" fillId="6" borderId="4" xfId="0" applyNumberFormat="1" applyFont="1" applyFill="1" applyBorder="1" applyAlignment="1">
      <x:alignment horizontal="center" vertical="center"/>
    </x:xf>
    <x:xf numFmtId="0" fontId="5" fillId="6" borderId="7" xfId="0" applyNumberFormat="1" applyFont="1" applyFill="1" applyBorder="1" applyAlignment="1">
      <x:alignment horizontal="center" vertical="center"/>
    </x:xf>
    <x:xf numFmtId="0" fontId="5" fillId="6" borderId="9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0" xfId="0" applyNumberFormat="1" applyFont="1" applyFill="1" applyBorder="1"/>
    <x:xf numFmtId="0" fontId="5" fillId="6" borderId="12" xfId="0" applyNumberFormat="1" applyFont="1" applyFill="1" applyBorder="1"/>
    <x:xf numFmtId="0" fontId="5" fillId="6" borderId="15" xfId="0" applyNumberFormat="1" applyFont="1" applyFill="1" applyBorder="1"/>
    <x:xf numFmtId="0" fontId="5" fillId="6" borderId="17" xfId="0" applyNumberFormat="1" applyFont="1" applyFill="1" applyBorder="1"/>
    <x:xf numFmtId="0" fontId="5" fillId="6" borderId="10" xfId="0" applyNumberFormat="1" applyFont="1" applyFill="1" applyBorder="1" applyAlignment="1">
      <x:alignment horizontal="center"/>
    </x:xf>
    <x:xf numFmtId="0" fontId="5" fillId="6" borderId="12" xfId="0" applyNumberFormat="1" applyFont="1" applyFill="1" applyBorder="1" applyAlignment="1">
      <x:alignment horizontal="center"/>
    </x:xf>
    <x:xf numFmtId="0" fontId="5" fillId="6" borderId="15" xfId="0" applyNumberFormat="1" applyFont="1" applyFill="1" applyBorder="1" applyAlignment="1">
      <x:alignment horizontal="center"/>
    </x:xf>
    <x:xf numFmtId="0" fontId="5" fillId="6" borderId="17" xfId="0" applyNumberFormat="1" applyFont="1" applyFill="1" applyBorder="1" applyAlignment="1">
      <x:alignment horizontal="center"/>
    </x:xf>
    <x:xf numFmtId="0" fontId="5" fillId="6" borderId="10" xfId="0" applyNumberFormat="1" applyFont="1" applyFill="1" applyBorder="1" applyAlignment="1">
      <x:alignment horizontal="center" vertical="center"/>
    </x:xf>
    <x:xf numFmtId="0" fontId="5" fillId="6" borderId="12" xfId="0" applyNumberFormat="1" applyFont="1" applyFill="1" applyBorder="1" applyAlignment="1">
      <x:alignment horizontal="center" vertical="center"/>
    </x:xf>
    <x:xf numFmtId="0" fontId="5" fillId="6" borderId="15" xfId="0" applyNumberFormat="1" applyFont="1" applyFill="1" applyBorder="1" applyAlignment="1">
      <x:alignment horizontal="center" vertical="center"/>
    </x:xf>
    <x:xf numFmtId="0" fontId="5" fillId="6" borderId="17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2" xfId="0" applyNumberFormat="1" applyFont="1" applyFill="1" applyBorder="1"/>
    <x:xf numFmtId="0" fontId="7" fillId="7" borderId="3" xfId="0" applyNumberFormat="1" applyFont="1" applyFill="1" applyBorder="1"/>
    <x:xf numFmtId="0" fontId="7" fillId="7" borderId="4" xfId="0" applyNumberFormat="1" applyFont="1" applyFill="1" applyBorder="1"/>
    <x:xf numFmtId="0" fontId="7" fillId="7" borderId="7" xfId="0" applyNumberFormat="1" applyFont="1" applyFill="1" applyBorder="1"/>
    <x:xf numFmtId="0" fontId="7" fillId="7" borderId="8" xfId="0" applyNumberFormat="1" applyFont="1" applyFill="1" applyBorder="1"/>
    <x:xf numFmtId="0" fontId="7" fillId="7" borderId="9" xfId="0" applyNumberFormat="1" applyFont="1" applyFill="1" applyBorder="1"/>
    <x:xf numFmtId="0" fontId="7" fillId="7" borderId="2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wrapText="1"/>
    </x:xf>
    <x:xf numFmtId="0" fontId="7" fillId="7" borderId="4" xfId="0" applyNumberFormat="1" applyFont="1" applyFill="1" applyBorder="1" applyAlignment="1">
      <x:alignment wrapText="1"/>
    </x:xf>
    <x:xf numFmtId="0" fontId="7" fillId="7" borderId="7" xfId="0" applyNumberFormat="1" applyFont="1" applyFill="1" applyBorder="1" applyAlignment="1">
      <x:alignment wrapText="1"/>
    </x:xf>
    <x:xf numFmtId="0" fontId="7" fillId="7" borderId="8" xfId="0" applyNumberFormat="1" applyFont="1" applyFill="1" applyBorder="1" applyAlignment="1">
      <x:alignment wrapText="1"/>
    </x:xf>
    <x:xf numFmtId="0" fontId="7" fillId="7" borderId="9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7" fillId="7" borderId="7" xfId="0" applyNumberFormat="1" applyFont="1" applyFill="1" applyBorder="1" applyAlignment="1">
      <x:alignment vertical="center" wrapText="1"/>
    </x:xf>
    <x:xf numFmtId="0" fontId="7" fillId="7" borderId="8" xfId="0" applyNumberFormat="1" applyFont="1" applyFill="1" applyBorder="1" applyAlignment="1">
      <x:alignment vertical="center" wrapText="1"/>
    </x:xf>
    <x:xf numFmtId="0" fontId="7" fillId="7" borderId="9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7" fillId="7" borderId="12" xfId="0" applyNumberFormat="1" applyFont="1" applyFill="1" applyBorder="1"/>
    <x:xf numFmtId="0" fontId="7" fillId="7" borderId="15" xfId="0" applyNumberFormat="1" applyFont="1" applyFill="1" applyBorder="1"/>
    <x:xf numFmtId="0" fontId="7" fillId="7" borderId="16" xfId="0" applyNumberFormat="1" applyFont="1" applyFill="1" applyBorder="1"/>
    <x:xf numFmtId="0" fontId="7" fillId="7" borderId="17" xfId="0" applyNumberFormat="1" applyFont="1" applyFill="1" applyBorder="1"/>
    <x:xf numFmtId="0" fontId="7" fillId="7" borderId="10" xfId="0" applyNumberFormat="1" applyFont="1" applyFill="1" applyBorder="1" applyAlignment="1">
      <x:alignment wrapText="1"/>
    </x:xf>
    <x:xf numFmtId="0" fontId="7" fillId="7" borderId="11" xfId="0" applyNumberFormat="1" applyFont="1" applyFill="1" applyBorder="1" applyAlignment="1">
      <x:alignment wrapText="1"/>
    </x:xf>
    <x:xf numFmtId="0" fontId="7" fillId="7" borderId="12" xfId="0" applyNumberFormat="1" applyFont="1" applyFill="1" applyBorder="1" applyAlignment="1">
      <x:alignment wrapText="1"/>
    </x:xf>
    <x:xf numFmtId="0" fontId="7" fillId="7" borderId="15" xfId="0" applyNumberFormat="1" applyFont="1" applyFill="1" applyBorder="1" applyAlignment="1">
      <x:alignment wrapText="1"/>
    </x:xf>
    <x:xf numFmtId="0" fontId="7" fillId="7" borderId="16" xfId="0" applyNumberFormat="1" applyFont="1" applyFill="1" applyBorder="1" applyAlignment="1">
      <x:alignment wrapText="1"/>
    </x:xf>
    <x:xf numFmtId="0" fontId="7" fillId="7" borderId="17" xfId="0" applyNumberFormat="1" applyFont="1" applyFill="1" applyBorder="1" applyAlignment="1">
      <x:alignment wrapText="1"/>
    </x:xf>
    <x:xf numFmtId="0" fontId="7" fillId="7" borderId="10" xfId="0" applyNumberFormat="1" applyFont="1" applyFill="1" applyBorder="1" applyAlignment="1">
      <x:alignment vertical="center" wrapText="1"/>
    </x:xf>
    <x:xf numFmtId="0" fontId="7" fillId="7" borderId="11" xfId="0" applyNumberFormat="1" applyFont="1" applyFill="1" applyBorder="1" applyAlignment="1">
      <x:alignment vertical="center" wrapText="1"/>
    </x:xf>
    <x:xf numFmtId="0" fontId="7" fillId="7" borderId="12" xfId="0" applyNumberFormat="1" applyFont="1" applyFill="1" applyBorder="1" applyAlignment="1">
      <x:alignment vertical="center" wrapText="1"/>
    </x:xf>
    <x:xf numFmtId="0" fontId="7" fillId="7" borderId="15" xfId="0" applyNumberFormat="1" applyFont="1" applyFill="1" applyBorder="1" applyAlignment="1">
      <x:alignment vertical="center" wrapText="1"/>
    </x:xf>
    <x:xf numFmtId="0" fontId="7" fillId="7" borderId="16" xfId="0" applyNumberFormat="1" applyFont="1" applyFill="1" applyBorder="1" applyAlignment="1">
      <x:alignment vertical="center" wrapText="1"/>
    </x:xf>
    <x:xf numFmtId="0" fontId="7" fillId="7" borderId="17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201" fontId="0" fillId="0" borderId="3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201" fontId="0" fillId="0" borderId="1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16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8" xfId="0" applyNumberFormat="1" applyFont="1" applyFill="1" applyBorder="1" applyAlignment="1">
      <x:alignment vertical="top" wrapText="1"/>
    </x:xf>
    <x:xf numFmtId="202" fontId="0" fillId="0" borderId="1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16" xfId="0" applyNumberFormat="1" applyFont="1" applyFill="1" applyBorder="1" applyAlignment="1">
      <x:alignment vertical="top" wrapText="1"/>
    </x:xf>
    <x:xf numFmtId="203" fontId="0" fillId="0" borderId="3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8" xfId="0" applyNumberFormat="1" applyFont="1" applyFill="1" applyBorder="1" applyAlignment="1">
      <x:alignment vertical="top" wrapText="1"/>
    </x:xf>
    <x:xf numFmtId="203" fontId="0" fillId="0" borderId="11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3" fontId="0" fillId="0" borderId="16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8">
    <x:dxf>
      <x:font>
        <x:b/>
        <x:color rgb="FF991B1B"/>
      </x:font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ont>
        <x:b/>
      </x:font>
      <x:fill>
        <x:patternFill patternType="solid">
          <x:bgColor rgb="FFFEF3C7"/>
        </x:patternFill>
      </x:fill>
    </x:dxf>
    <x:dxf>
      <x:font>
        <x:i/>
      </x:font>
      <x:fill>
        <x:patternFill patternType="solid">
          <x:bgColor rgb="FFF3F4F6"/>
        </x:patternFill>
      </x:fill>
    </x:dxf>
    <x:dxf>
      <x:font>
        <x:b/>
      </x:font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19467b611a4515" /><Relationship Type="http://schemas.openxmlformats.org/officeDocument/2006/relationships/theme" Target="/xl/theme/theme1.xml" Id="R4e3f895c00884e55" /><Relationship Type="http://schemas.openxmlformats.org/officeDocument/2006/relationships/sharedStrings" Target="/xl/sharedStrings.xml" Id="R036786215ab04ffc" /><Relationship Type="http://schemas.openxmlformats.org/officeDocument/2006/relationships/worksheet" Target="/xl/worksheets/sheet1.xml" Id="Raefa96593c4342a8" /><Relationship Type="http://schemas.openxmlformats.org/officeDocument/2006/relationships/worksheet" Target="/xl/worksheets/sheet2.xml" Id="Rac973f2a209549d6" /><Relationship Type="http://schemas.openxmlformats.org/officeDocument/2006/relationships/worksheet" Target="/xl/worksheets/sheet3.xml" Id="R543dcb525fd141fd" /><Relationship Type="http://schemas.openxmlformats.org/officeDocument/2006/relationships/worksheet" Target="/xl/worksheets/sheet4.xml" Id="R66e8899d49114bb9" /><Relationship Type="http://schemas.openxmlformats.org/officeDocument/2006/relationships/worksheet" Target="/xl/worksheets/sheet5.xml" Id="Rbf9e112fc97049bf" /><Relationship Type="http://schemas.openxmlformats.org/officeDocument/2006/relationships/worksheet" Target="/xl/worksheets/sheet6.xml" Id="R20593b4b5e2c4db9" /><Relationship Type="http://schemas.openxmlformats.org/officeDocument/2006/relationships/worksheet" Target="/xl/worksheets/sheet7.xml" Id="R28249e6dc75543bb" /><Relationship Type="http://schemas.openxmlformats.org/officeDocument/2006/relationships/worksheet" Target="/xl/worksheets/sheet8.xml" Id="R3d39617add38440a" /><Relationship Type="http://schemas.openxmlformats.org/officeDocument/2006/relationships/worksheet" Target="/xl/worksheets/sheet9.xml" Id="Re57b7aee6f29447c" /><Relationship Type="http://schemas.openxmlformats.org/officeDocument/2006/relationships/worksheet" Target="/xl/worksheets/sheet10.xml" Id="Rbafd13c1534e4c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8c98760ce624f13" /><Relationship Type="http://schemas.openxmlformats.org/officeDocument/2006/relationships/chart" Target="/xl/drawings/charts/chart2.xml" Id="R96acd771b4ab402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Product Records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'Dashboard'!$A$18:$A$27</c:f>
              <c:strCache>
                <c:ptCount val="0"/>
              </c:strCache>
            </c:strRef>
          </c:cat>
          <c:val>
            <c:numRef>
              <c:f>'Dashboard'!$B$18:$B$27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Coverage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'Dashboard'!$D$18:$D$31</c:f>
              <c:strCache>
                <c:ptCount val="0"/>
              </c:strCache>
            </c:strRef>
          </c:cat>
          <c:val>
            <c:numRef>
              <c:f>'Dashboard'!$E$18:$E$31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16</xdr:row>
      <xdr:rowOff>0</xdr:rowOff>
    </xdr:from>
    <xdr:to>
      <xdr:col>13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c98760ce624f13"/>
        </a:graphicData>
      </a:graphic>
    </xdr:graphicFrame>
    <xdr:clientData/>
  </xdr:twoCellAnchor>
  <xdr:twoCellAnchor>
    <xdr:from>
      <xdr:col>6</xdr:col>
      <xdr:colOff>0</xdr:colOff>
      <xdr:row>32</xdr:row>
      <xdr:rowOff>0</xdr:rowOff>
    </xdr:from>
    <xdr:to>
      <xdr:col>13</xdr:col>
      <xdr:colOff>0</xdr:colOff>
      <xdr:row>49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acd771b4ab402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ductUniverseTable" displayName="ProductUniverseTable" ref="A4:AD155" headerRowCount="1">
  <x:tableColumns count="30">
    <x:tableColumn id="1" name="Product Key"/>
    <x:tableColumn id="2" name="Entity"/>
    <x:tableColumn id="3" name="Relationship"/>
    <x:tableColumn id="4" name="Brand"/>
    <x:tableColumn id="5" name="Category"/>
    <x:tableColumn id="6" name="Subcategory"/>
    <x:tableColumn id="7" name="Product Name"/>
    <x:tableColumn id="8" name="Product Level"/>
    <x:tableColumn id="9" name="Item / Material Number"/>
    <x:tableColumn id="10" name="Size"/>
    <x:tableColumn id="11" name="Closure Size"/>
    <x:tableColumn id="12" name="Formulation / Material"/>
    <x:tableColumn id="13" name="Processing"/>
    <x:tableColumn id="14" name="Coating / Film"/>
    <x:tableColumn id="15" name="Inspection"/>
    <x:tableColumn id="16" name="Packaging"/>
    <x:tableColumn id="17" name="Pack Quantity"/>
    <x:tableColumn id="18" name="Region"/>
    <x:tableColumn id="19" name="Availability"/>
    <x:tableColumn id="20" name="Current Status"/>
    <x:tableColumn id="21" name="Confidence"/>
    <x:tableColumn id="22" name="Coverage Status"/>
    <x:tableColumn id="23" name="Source Name"/>
    <x:tableColumn id="24" name="Source URL"/>
    <x:tableColumn id="25" name="First Seen"/>
    <x:tableColumn id="26" name="Last Seen"/>
    <x:tableColumn id="27" name="Consecutive Misses"/>
    <x:tableColumn id="28" name="Source Count"/>
    <x:tableColumn id="29" name="Notes"/>
    <x:tableColumn id="30" name="Review Flag"/>
  </x:tableColumns>
  <x:tableStyleInfo name="TableStyleMedium2" showRowStripes="1"/>
</x:table>
</file>

<file path=xl/tables/table2.xml><?xml version="1.0" encoding="utf-8"?>
<x:table xmlns:x="http://schemas.openxmlformats.org/spreadsheetml/2006/main" id="2" name="SkuDetailTable" displayName="SkuDetailTable" ref="A4:W54" headerRowCount="1">
  <x:tableColumns count="23">
    <x:tableColumn id="1" name="Entity"/>
    <x:tableColumn id="2" name="Brand"/>
    <x:tableColumn id="3" name="Category"/>
    <x:tableColumn id="4" name="Subcategory"/>
    <x:tableColumn id="5" name="Product Name"/>
    <x:tableColumn id="6" name="Item / Material Number"/>
    <x:tableColumn id="7" name="Size"/>
    <x:tableColumn id="8" name="Closure Size"/>
    <x:tableColumn id="9" name="Formulation / Material"/>
    <x:tableColumn id="10" name="Processing"/>
    <x:tableColumn id="11" name="Coating / Film"/>
    <x:tableColumn id="12" name="Inspection"/>
    <x:tableColumn id="13" name="Packaging"/>
    <x:tableColumn id="14" name="Pack Quantity"/>
    <x:tableColumn id="15" name="Region"/>
    <x:tableColumn id="16" name="Availability"/>
    <x:tableColumn id="17" name="Current Status"/>
    <x:tableColumn id="18" name="Confidence"/>
    <x:tableColumn id="19" name="Coverage Status"/>
    <x:tableColumn id="20" name="Source Name"/>
    <x:tableColumn id="21" name="Source URL"/>
    <x:tableColumn id="22" name="First Seen"/>
    <x:tableColumn id="2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ProductFamiliesTable" displayName="ProductFamiliesTable" ref="A4:N87" headerRowCount="1">
  <x:tableColumns count="14">
    <x:tableColumn id="1" name="Entity"/>
    <x:tableColumn id="2" name="Relationship"/>
    <x:tableColumn id="3" name="Brand"/>
    <x:tableColumn id="4" name="Category"/>
    <x:tableColumn id="5" name="Subcategory"/>
    <x:tableColumn id="6" name="Product Name"/>
    <x:tableColumn id="7" name="Product Level"/>
    <x:tableColumn id="8" name="Size / Range"/>
    <x:tableColumn id="9" name="Processing"/>
    <x:tableColumn id="10" name="Coating / Film"/>
    <x:tableColumn id="11" name="Inspection"/>
    <x:tableColumn id="12" name="Current Status"/>
    <x:tableColumn id="13" name="Coverage Status"/>
    <x:tableColumn id="14" name="Source URL"/>
  </x:tableColumns>
  <x:tableStyleInfo name="TableStyleMedium2" showRowStripes="1"/>
</x:table>
</file>

<file path=xl/tables/table4.xml><?xml version="1.0" encoding="utf-8"?>
<x:table xmlns:x="http://schemas.openxmlformats.org/spreadsheetml/2006/main" id="4" name="ChangeLogTable" displayName="ChangeLogTable" ref="A4:I155" headerRowCount="1">
  <x:tableColumns count="9">
    <x:tableColumn id="1" name="Change ID"/>
    <x:tableColumn id="2" name="Snapshot ID"/>
    <x:tableColumn id="3" name="Product Key"/>
    <x:tableColumn id="4" name="Product Name"/>
    <x:tableColumn id="5" name="Item Number"/>
    <x:tableColumn id="6" name="Change Type"/>
    <x:tableColumn id="7" name="Changed Fields"/>
    <x:tableColumn id="8" name="Detected At"/>
    <x:tableColumn id="9" name="Review Status"/>
  </x:tableColumns>
  <x:tableStyleInfo name="TableStyleMedium2" showRowStripes="1"/>
</x:table>
</file>

<file path=xl/tables/table5.xml><?xml version="1.0" encoding="utf-8"?>
<x:table xmlns:x="http://schemas.openxmlformats.org/spreadsheetml/2006/main" id="5" name="SourceRegistryTable" displayName="SourceRegistryTable" ref="A4:L22" headerRowCount="1">
  <x:tableColumns count="12">
    <x:tableColumn id="1" name="Source ID"/>
    <x:tableColumn id="2" name="Source Name"/>
    <x:tableColumn id="3" name="Owner Entity"/>
    <x:tableColumn id="4" name="URL"/>
    <x:tableColumn id="5" name="Source Type"/>
    <x:tableColumn id="6" name="Authentication Required"/>
    <x:tableColumn id="7" name="Cadence"/>
    <x:tableColumn id="8" name="Priority"/>
    <x:tableColumn id="9" name="Scope"/>
    <x:tableColumn id="10" name="Status"/>
    <x:tableColumn id="11" name="Last Success"/>
    <x:tableColumn id="12" name="Last Error"/>
  </x:tableColumns>
  <x:tableStyleInfo name="TableStyleMedium2" showRowStripes="1"/>
</x:table>
</file>

<file path=xl/tables/table6.xml><?xml version="1.0" encoding="utf-8"?>
<x:table xmlns:x="http://schemas.openxmlformats.org/spreadsheetml/2006/main" id="6" name="EntityMapTable" displayName="EntityMapTable" ref="A4:J52" headerRowCount="1">
  <x:tableColumns count="10">
    <x:tableColumn id="1" name="Entity ID"/>
    <x:tableColumn id="2" name="Legal Name"/>
    <x:tableColumn id="3" name="Relationship"/>
    <x:tableColumn id="4" name="Ownership %"/>
    <x:tableColumn id="5" name="Jurisdiction"/>
    <x:tableColumn id="6" name="Domain"/>
    <x:tableColumn id="7" name="Product Scope"/>
    <x:tableColumn id="8" name="Active"/>
    <x:tableColumn id="9" name="Source URL"/>
    <x:tableColumn id="10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CoverageGapsTable" displayName="CoverageGapsTable" ref="A4:J16" headerRowCount="1">
  <x:tableColumns count="10">
    <x:tableColumn id="1" name="Gap ID"/>
    <x:tableColumn id="2" name="Coverage Gap"/>
    <x:tableColumn id="3" name="Why Public Sources Are Insufficient"/>
    <x:tableColumn id="4" name="Required Source / Action"/>
    <x:tableColumn id="5" name="Priority"/>
    <x:tableColumn id="6" name="Owner"/>
    <x:tableColumn id="7" name="Frequency"/>
    <x:tableColumn id="8" name="Status"/>
    <x:tableColumn id="9" name="Completion Test"/>
    <x:tableColumn id="10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RunbookTable" displayName="RunbookTable" ref="A4:H14" headerRowCount="1">
  <x:tableColumns count="8">
    <x:tableColumn id="1" name="Step"/>
    <x:tableColumn id="2" name="Task"/>
    <x:tableColumn id="3" name="Command / Action"/>
    <x:tableColumn id="4" name="Cadence"/>
    <x:tableColumn id="5" name="Output"/>
    <x:tableColumn id="6" name="Review Rule"/>
    <x:tableColumn id="7" name="Failure Handling"/>
    <x:tableColumn id="8" name="Owner"/>
  </x:tableColumns>
  <x:tableStyleInfo name="TableStyleMedium2" showRowStripes="1"/>
</x:table>
</file>

<file path=xl/tables/table9.xml><?xml version="1.0" encoding="utf-8"?>
<x:table xmlns:x="http://schemas.openxmlformats.org/spreadsheetml/2006/main" id="9" name="DataDictionaryTable" displayName="DataDictionaryTable" ref="A4:E19" headerRowCount="1">
  <x:tableColumns count="5">
    <x:tableColumn id="1" name="Field"/>
    <x:tableColumn id="2" name="Table / Sheet"/>
    <x:tableColumn id="3" name="Definition"/>
    <x:tableColumn id="4" name="Allowed / Typical Values"/>
    <x:tableColumn id="5" name="Key Interpretation 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75eac11b781449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74546b054347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b4622aa19e46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4284e1d9e340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1673950c9d47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8a66619b9448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721e13a067543e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2f475e7cfdb4d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4462d3732443d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b562f4275c9486f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3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30" customHeight="1">
      <x:c r="A1" s="5" t="str">
        <x:v>West Pharmaceutical Product-Universe Tracker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8" customHeight="1">
      <x:c r="A2" s="13" t="str">
        <x:v>Public-source seed through 2026-07-21. This is an auditable starting universe, not a claim that all West material numbers are public.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>
      <x:c r="A4" s="37" t="str">
        <x:v>CRITICAL COMPLETENESS LIMIT: West states that not all items are listed on its website. A defensible 'every item' result requires an authenticated West catalog/material-number search and preferably an account-manager master material export. Customer-owned West Vantage products may also be confidential and cannot be enumerated completely from public sources.</x:v>
      </x:c>
      <x:c r="B4" s="38"/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9"/>
    </x:row>
    <x:row r="5">
      <x:c r="A5" s="40"/>
      <x:c r="B5" s="41"/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2"/>
    </x:row>
    <x:row r="6">
      <x:c r="A6" s="43"/>
      <x:c r="B6" s="44"/>
      <x:c r="C6" s="44"/>
      <x:c r="D6" s="44"/>
      <x:c r="E6" s="44"/>
      <x:c r="F6" s="44"/>
      <x:c r="G6" s="44"/>
      <x:c r="H6" s="44"/>
      <x:c r="I6" s="44"/>
      <x:c r="J6" s="44"/>
      <x:c r="K6" s="44"/>
      <x:c r="L6" s="44"/>
      <x:c r="M6" s="45"/>
    </x:row>
    <x:row r="8">
      <x:c r="A8" s="80" t="str">
        <x:v>Total master records</x:v>
      </x:c>
      <x:c r="B8" s="81"/>
      <x:c r="D8" s="80" t="str">
        <x:v>Exact SKU-level rows</x:v>
      </x:c>
      <x:c r="E8" s="81"/>
      <x:c r="G8" s="80" t="str">
        <x:v>Family/configuration rows</x:v>
      </x:c>
      <x:c r="H8" s="81"/>
      <x:c r="J8" s="80" t="str">
        <x:v>Rows with any public ID</x:v>
      </x:c>
      <x:c r="K8" s="81"/>
    </x:row>
    <x:row r="9">
      <x:c r="A9" s="100" t="n">
        <x:f>COUNTA('Product Universe'!A5:A155)</x:f>
        <x:v>151</x:v>
      </x:c>
      <x:c r="B9" s="101"/>
      <x:c r="D9" s="100" t="n">
        <x:f>COUNTIF('Product Universe'!H5:H155,"SKU")</x:f>
        <x:v>50</x:v>
      </x:c>
      <x:c r="E9" s="101"/>
      <x:c r="G9" s="100" t="n">
        <x:f>COUNTIF('Product Universe'!H5:H155,"Family")+COUNTIF('Product Universe'!H5:H155,"Configuration")</x:f>
        <x:v>83</x:v>
      </x:c>
      <x:c r="H9" s="101"/>
      <x:c r="J9" s="100" t="n">
        <x:f>COUNTIF('Product Universe'!H5:H155,"SKU")+COUNTIF('Product Universe'!H5:H155,"Configuration")+COUNTIF('Product Universe'!H5:H155,"Regulatory record")</x:f>
        <x:v>56</x:v>
      </x:c>
      <x:c r="K9" s="101"/>
    </x:row>
    <x:row r="10">
      <x:c r="A10" s="102"/>
      <x:c r="B10" s="103"/>
      <x:c r="D10" s="102"/>
      <x:c r="E10" s="103"/>
      <x:c r="G10" s="102"/>
      <x:c r="H10" s="103"/>
      <x:c r="J10" s="102"/>
      <x:c r="K10" s="103"/>
    </x:row>
    <x:row r="12">
      <x:c r="A12" s="80" t="str">
        <x:v>Legal entities &amp; aliases mapped</x:v>
      </x:c>
      <x:c r="B12" s="81"/>
      <x:c r="D12" s="80" t="str">
        <x:v>Source systems registered</x:v>
      </x:c>
      <x:c r="E12" s="81"/>
      <x:c r="G12" s="80" t="str">
        <x:v>Sources requiring authentication</x:v>
      </x:c>
      <x:c r="H12" s="81"/>
      <x:c r="J12" s="80" t="str">
        <x:v>Open coverage gaps</x:v>
      </x:c>
      <x:c r="K12" s="81"/>
    </x:row>
    <x:row r="13">
      <x:c r="A13" s="100" t="n">
        <x:f>COUNTA('Entity Map'!B5:B52)</x:f>
        <x:v>48</x:v>
      </x:c>
      <x:c r="B13" s="101"/>
      <x:c r="D13" s="100" t="n">
        <x:f>COUNTA('Source Registry'!A5:A22)</x:f>
        <x:v>18</x:v>
      </x:c>
      <x:c r="E13" s="101"/>
      <x:c r="G13" s="100" t="n">
        <x:f>COUNTIF('Source Registry'!F5:F22, "Yes")</x:f>
        <x:v>3</x:v>
      </x:c>
      <x:c r="H13" s="101"/>
      <x:c r="J13" s="100" t="n">
        <x:f>COUNTIF('Coverage Gaps'!H5:H20,"Open")+COUNTIF('Coverage Gaps'!H5:H20,"Partially addressed")</x:f>
        <x:v>12</x:v>
      </x:c>
      <x:c r="K13" s="101"/>
    </x:row>
    <x:row r="14">
      <x:c r="A14" s="102"/>
      <x:c r="B14" s="103"/>
      <x:c r="D14" s="102"/>
      <x:c r="E14" s="103"/>
      <x:c r="G14" s="102"/>
      <x:c r="H14" s="103"/>
      <x:c r="J14" s="102"/>
      <x:c r="K14" s="103"/>
    </x:row>
    <x:row r="17">
      <x:c r="A17" s="121" t="str">
        <x:v>Category</x:v>
      </x:c>
      <x:c r="B17" s="121" t="str">
        <x:v>Records</x:v>
      </x:c>
      <x:c r="D17" s="121" t="str">
        <x:v>Coverage Status</x:v>
      </x:c>
      <x:c r="E17" s="121" t="str">
        <x:v>Records</x:v>
      </x:c>
    </x:row>
    <x:row r="18">
      <x:c r="A18" s="126" t="str">
        <x:v>Vial Containment Solutions</x:v>
      </x:c>
      <x:c r="B18" s="127" t="n">
        <x:f>COUNTIF('Product Universe'!E5:E155,A18)</x:f>
        <x:v>63</x:v>
      </x:c>
      <x:c r="D18" s="126" t="str">
        <x:v>Affiliate family verified; item catalog not public</x:v>
      </x:c>
      <x:c r="E18" s="127" t="n">
        <x:f>COUNTIF('Product Universe'!V5:V155,D18)</x:f>
        <x:v>8</x:v>
      </x:c>
    </x:row>
    <x:row r="19">
      <x:c r="A19" s="128" t="str">
        <x:v>Prefillable Syringes</x:v>
      </x:c>
      <x:c r="B19" s="129" t="n">
        <x:f>COUNTIF('Product Universe'!E5:E155,A19)</x:f>
        <x:v>22</x:v>
      </x:c>
      <x:c r="D19" s="128" t="str">
        <x:v>Affiliate public family/configuration verified</x:v>
      </x:c>
      <x:c r="E19" s="129" t="n">
        <x:f>COUNTIF('Product Universe'!V5:V155,D19)</x:f>
        <x:v>9</x:v>
      </x:c>
    </x:row>
    <x:row r="20">
      <x:c r="A20" s="128" t="str">
        <x:v>West Vantage / Contract Manufacturing</x:v>
      </x:c>
      <x:c r="B20" s="129" t="n">
        <x:f>COUNTIF('Product Universe'!E5:E155,A20)</x:f>
        <x:v>16</x:v>
      </x:c>
      <x:c r="D20" s="128" t="str">
        <x:v>Capability verified; customer product identities not publicly enumerable</x:v>
      </x:c>
      <x:c r="E20" s="129" t="n">
        <x:f>COUNTIF('Product Universe'!V5:V155,D20)</x:f>
        <x:v>16</x:v>
      </x:c>
    </x:row>
    <x:row r="21">
      <x:c r="A21" s="128" t="str">
        <x:v>Daikyo Affiliate Products</x:v>
      </x:c>
      <x:c r="B21" s="129" t="n">
        <x:f>COUNTIF('Product Universe'!E5:E155,A21)</x:f>
        <x:v>9</x:v>
      </x:c>
      <x:c r="D21" s="128" t="str">
        <x:v>Corporate action verified</x:v>
      </x:c>
      <x:c r="E21" s="129" t="n">
        <x:f>COUNTIF('Product Universe'!V5:V155,D21)</x:f>
        <x:v>1</x:v>
      </x:c>
    </x:row>
    <x:row r="22">
      <x:c r="A22" s="128" t="str">
        <x:v>Vial Transfer Devices</x:v>
      </x:c>
      <x:c r="B22" s="129" t="n">
        <x:f>COUNTIF('Product Universe'!E5:E155,A22)</x:f>
        <x:v>9</x:v>
      </x:c>
      <x:c r="D22" s="128" t="str">
        <x:v>FDA regulatory record verified</x:v>
      </x:c>
      <x:c r="E22" s="129" t="n">
        <x:f>COUNTIF('Product Universe'!V5:V155,D22)</x:f>
        <x:v>2</x:v>
      </x:c>
    </x:row>
    <x:row r="23">
      <x:c r="A23" s="128" t="str">
        <x:v>Mexico Affiliate Products</x:v>
      </x:c>
      <x:c r="B23" s="129" t="n">
        <x:f>COUNTIF('Product Universe'!E5:E155,A23)</x:f>
        <x:v>8</x:v>
      </x:c>
      <x:c r="D23" s="128" t="str">
        <x:v>Facility product verified</x:v>
      </x:c>
      <x:c r="E23" s="129" t="n">
        <x:f>COUNTIF('Product Universe'!V5:V155,D23)</x:f>
        <x:v>2</x:v>
      </x:c>
    </x:row>
    <x:row r="24">
      <x:c r="A24" s="128" t="str">
        <x:v>Cartridge Components</x:v>
      </x:c>
      <x:c r="B24" s="129" t="n">
        <x:f>COUNTIF('Product Universe'!E5:E155,A24)</x:f>
        <x:v>6</x:v>
      </x:c>
      <x:c r="D24" s="128" t="str">
        <x:v>Historical source only</x:v>
      </x:c>
      <x:c r="E24" s="129" t="n">
        <x:f>COUNTIF('Product Universe'!V5:V155,D24)</x:f>
        <x:v>3</x:v>
      </x:c>
    </x:row>
    <x:row r="25">
      <x:c r="A25" s="128" t="str">
        <x:v>Quality Enhancements</x:v>
      </x:c>
      <x:c r="B25" s="129" t="n">
        <x:f>COUNTIF('Product Universe'!E5:E155,A25)</x:f>
        <x:v>5</x:v>
      </x:c>
      <x:c r="D25" s="128" t="str">
        <x:v>Official PDF SKU verified</x:v>
      </x:c>
      <x:c r="E25" s="129" t="n">
        <x:f>COUNTIF('Product Universe'!V5:V155,D25)</x:f>
        <x:v>13</x:v>
      </x:c>
    </x:row>
    <x:row r="26">
      <x:c r="A26" s="128" t="str">
        <x:v>Legacy / Status Review</x:v>
      </x:c>
      <x:c r="B26" s="129" t="n">
        <x:f>COUNTIF('Product Universe'!E5:E155,A26)</x:f>
        <x:v>3</x:v>
      </x:c>
      <x:c r="D26" s="128" t="str">
        <x:v>Official legacy status verified</x:v>
      </x:c>
      <x:c r="E26" s="129" t="n">
        <x:f>COUNTIF('Product Universe'!V5:V155,D26)</x:f>
        <x:v>1</x:v>
      </x:c>
    </x:row>
    <x:row r="27">
      <x:c r="A27" s="130" t="str">
        <x:v>Self-Injection Devices</x:v>
      </x:c>
      <x:c r="B27" s="131" t="n">
        <x:f>COUNTIF('Product Universe'!E5:E155,A27)</x:f>
        <x:v>3</x:v>
      </x:c>
      <x:c r="D27" s="128" t="str">
        <x:v>Public configuration verified</x:v>
      </x:c>
      <x:c r="E27" s="129" t="n">
        <x:f>COUNTIF('Product Universe'!V5:V155,D27)</x:f>
        <x:v>4</x:v>
      </x:c>
    </x:row>
    <x:row r="28">
      <x:c r="D28" s="128" t="str">
        <x:v>Public family / custom capability verified</x:v>
      </x:c>
      <x:c r="E28" s="129" t="n">
        <x:f>COUNTIF('Product Universe'!V5:V155,D28)</x:f>
        <x:v>3</x:v>
      </x:c>
    </x:row>
    <x:row r="29">
      <x:c r="D29" s="128" t="str">
        <x:v>Public family verified</x:v>
      </x:c>
      <x:c r="E29" s="129" t="n">
        <x:f>COUNTIF('Product Universe'!V5:V155,D29)</x:f>
        <x:v>47</x:v>
      </x:c>
    </x:row>
    <x:row r="30">
      <x:c r="D30" s="128" t="str">
        <x:v>Public process offering verified</x:v>
      </x:c>
      <x:c r="E30" s="129" t="n">
        <x:f>COUNTIF('Product Universe'!V5:V155,D30)</x:f>
        <x:v>5</x:v>
      </x:c>
    </x:row>
    <x:row r="31">
      <x:c r="D31" s="130" t="str">
        <x:v>Public store SKU verified</x:v>
      </x:c>
      <x:c r="E31" s="131" t="n">
        <x:f>COUNTIF('Product Universe'!V5:V155,D31)</x:f>
        <x:v>37</x:v>
      </x:c>
    </x:row>
    <x:row r="51">
      <x:c r="A51" s="152" t="str">
        <x:v>Interpretation: exact SKU rows are only items for which a public item/material number was observed. Family rows document products West appears to offer but do not establish the complete configuration matrix.</x:v>
      </x:c>
      <x:c r="B51" s="153"/>
      <x:c r="C51" s="153"/>
      <x:c r="D51" s="153"/>
      <x:c r="E51" s="153"/>
      <x:c r="F51" s="153"/>
      <x:c r="G51" s="153"/>
      <x:c r="H51" s="153"/>
      <x:c r="I51" s="153"/>
      <x:c r="J51" s="153"/>
      <x:c r="K51" s="153"/>
      <x:c r="L51" s="153"/>
      <x:c r="M51" s="154"/>
    </x:row>
    <x:row r="52">
      <x:c r="A52" s="155"/>
      <x:c r="B52" s="156"/>
      <x:c r="C52" s="156"/>
      <x:c r="D52" s="156"/>
      <x:c r="E52" s="156"/>
      <x:c r="F52" s="156"/>
      <x:c r="G52" s="156"/>
      <x:c r="H52" s="156"/>
      <x:c r="I52" s="156"/>
      <x:c r="J52" s="156"/>
      <x:c r="K52" s="156"/>
      <x:c r="L52" s="156"/>
      <x:c r="M52" s="157"/>
    </x:row>
  </x:sheetData>
  <x:mergeCells>
    <x:mergeCell ref="A1:M1"/>
    <x:mergeCell ref="A2:M2"/>
    <x:mergeCell ref="A4:M6"/>
    <x:mergeCell ref="A8:B8"/>
    <x:mergeCell ref="A9:B10"/>
    <x:mergeCell ref="D8:E8"/>
    <x:mergeCell ref="D9:E10"/>
    <x:mergeCell ref="G8:H8"/>
    <x:mergeCell ref="G9:H10"/>
    <x:mergeCell ref="J8:K8"/>
    <x:mergeCell ref="J9:K10"/>
    <x:mergeCell ref="A12:B12"/>
    <x:mergeCell ref="A13:B14"/>
    <x:mergeCell ref="D12:E12"/>
    <x:mergeCell ref="D13:E14"/>
    <x:mergeCell ref="G12:H12"/>
    <x:mergeCell ref="G13:H14"/>
    <x:mergeCell ref="J12:K12"/>
    <x:mergeCell ref="J13:K14"/>
    <x:mergeCell ref="A51:M52"/>
  </x:mergeCells>
  <x:pageMargins left="0.7" right="0.7" top="0.75" bottom="0.75" header="0.3" footer="0.3"/>
  <x:drawing xmlns:r="http://schemas.openxmlformats.org/officeDocument/2006/relationships" r:id="R675eac11b781449f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28" hidden="0" customWidth="1"/>
    <x:col min="4" max="4" width="18" hidden="0" customWidth="1"/>
    <x:col min="5" max="5" width="25" hidden="0" customWidth="1"/>
    <x:col min="6" max="6" width="25" hidden="0" customWidth="1"/>
    <x:col min="7" max="7" width="42" hidden="0" customWidth="1"/>
    <x:col min="8" max="8" width="18" hidden="0" customWidth="1"/>
    <x:col min="9" max="9" width="18" hidden="0" customWidth="1"/>
    <x:col min="10" max="10" width="16" hidden="0" customWidth="1"/>
    <x:col min="11" max="11" width="15" hidden="0" customWidth="1"/>
    <x:col min="12" max="12" width="26" hidden="0" customWidth="1"/>
    <x:col min="13" max="13" width="23" hidden="0" customWidth="1"/>
    <x:col min="14" max="14" width="22" hidden="0" customWidth="1"/>
    <x:col min="15" max="15" width="22" hidden="0" customWidth="1"/>
    <x:col min="16" max="16" width="24" hidden="0" customWidth="1"/>
    <x:col min="17" max="17" width="20" hidden="0" customWidth="1"/>
    <x:col min="18" max="18" width="22" hidden="0" customWidth="1"/>
    <x:col min="19" max="19" width="32" hidden="0" customWidth="1"/>
    <x:col min="20" max="20" width="23" hidden="0" customWidth="1"/>
    <x:col min="21" max="21" width="12" hidden="0" customWidth="1"/>
    <x:col min="22" max="22" width="37" hidden="0" customWidth="1"/>
    <x:col min="23" max="23" width="29" hidden="0" customWidth="1"/>
    <x:col min="24" max="24" width="48" hidden="0" customWidth="1"/>
    <x:col min="25" max="25" width="22" hidden="0" customWidth="1"/>
    <x:col min="26" max="26" width="22" hidden="0" customWidth="1"/>
    <x:col min="27" max="27" width="15" hidden="0" customWidth="1"/>
    <x:col min="28" max="28" width="13" hidden="0" customWidth="1"/>
    <x:col min="29" max="29" width="48" hidden="0" customWidth="1"/>
    <x:col min="30" max="30" width="13" hidden="0" customWidth="1"/>
  </x:cols>
  <x:sheetData>
    <x:row r="1" ht="30" customHeight="1">
      <x:c r="A1" s="222" t="str">
        <x:v>Product Universe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</x:row>
    <x:row r="2" ht="38" customHeight="1">
      <x:c r="A2" s="13" t="str">
        <x:v>One row per normalized product, configuration, SKU, regulatory record, service or custom-product class. Filter Coverage Status and Current Status before drawing conclusions.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</x:row>
    <x:row r="4">
      <x:c r="A4" s="121" t="str">
        <x:v>Product Key</x:v>
      </x:c>
      <x:c r="B4" s="121" t="str">
        <x:v>Entity</x:v>
      </x:c>
      <x:c r="C4" s="121" t="str">
        <x:v>Relationship</x:v>
      </x:c>
      <x:c r="D4" s="121" t="str">
        <x:v>Brand</x:v>
      </x:c>
      <x:c r="E4" s="121" t="str">
        <x:v>Category</x:v>
      </x:c>
      <x:c r="F4" s="121" t="str">
        <x:v>Subcategory</x:v>
      </x:c>
      <x:c r="G4" s="121" t="str">
        <x:v>Product Name</x:v>
      </x:c>
      <x:c r="H4" s="121" t="str">
        <x:v>Product Level</x:v>
      </x:c>
      <x:c r="I4" s="121" t="str">
        <x:v>Item / Material Number</x:v>
      </x:c>
      <x:c r="J4" s="121" t="str">
        <x:v>Size</x:v>
      </x:c>
      <x:c r="K4" s="121" t="str">
        <x:v>Closure Size</x:v>
      </x:c>
      <x:c r="L4" s="121" t="str">
        <x:v>Formulation / Material</x:v>
      </x:c>
      <x:c r="M4" s="121" t="str">
        <x:v>Processing</x:v>
      </x:c>
      <x:c r="N4" s="121" t="str">
        <x:v>Coating / Film</x:v>
      </x:c>
      <x:c r="O4" s="121" t="str">
        <x:v>Inspection</x:v>
      </x:c>
      <x:c r="P4" s="121" t="str">
        <x:v>Packaging</x:v>
      </x:c>
      <x:c r="Q4" s="121" t="str">
        <x:v>Pack Quantity</x:v>
      </x:c>
      <x:c r="R4" s="121" t="str">
        <x:v>Region</x:v>
      </x:c>
      <x:c r="S4" s="121" t="str">
        <x:v>Availability</x:v>
      </x:c>
      <x:c r="T4" s="121" t="str">
        <x:v>Current Status</x:v>
      </x:c>
      <x:c r="U4" s="121" t="str">
        <x:v>Confidence</x:v>
      </x:c>
      <x:c r="V4" s="121" t="str">
        <x:v>Coverage Status</x:v>
      </x:c>
      <x:c r="W4" s="121" t="str">
        <x:v>Source Name</x:v>
      </x:c>
      <x:c r="X4" s="121" t="str">
        <x:v>Source URL</x:v>
      </x:c>
      <x:c r="Y4" s="121" t="str">
        <x:v>First Seen</x:v>
      </x:c>
      <x:c r="Z4" s="121" t="str">
        <x:v>Last Seen</x:v>
      </x:c>
      <x:c r="AA4" s="121" t="str">
        <x:v>Consecutive Misses</x:v>
      </x:c>
      <x:c r="AB4" s="121" t="str">
        <x:v>Source Count</x:v>
      </x:c>
      <x:c r="AC4" s="121" t="str">
        <x:v>Notes</x:v>
      </x:c>
      <x:c r="AD4" s="121" t="str">
        <x:v>Review Flag</x:v>
      </x:c>
    </x:row>
    <x:row r="5">
      <x:c r="A5" s="182" t="str">
        <x:v>sku:11101452</x:v>
      </x:c>
      <x:c r="B5" s="183" t="str">
        <x:v>West Pharmaceutical Services, Inc.</x:v>
      </x:c>
      <x:c r="C5" s="183" t="str">
        <x:v>Parent / consolidated</x:v>
      </x:c>
      <x:c r="D5" s="183" t="str">
        <x:v>NovaPure</x:v>
      </x:c>
      <x:c r="E5" s="183" t="str">
        <x:v>Cartridge Components</x:v>
      </x:c>
      <x:c r="F5" s="183" t="str">
        <x:v>Cartridge plungers</x:v>
      </x:c>
      <x:c r="G5" s="183" t="str">
        <x:v>3mL NovaPure RTU Cartridge Plungers</x:v>
      </x:c>
      <x:c r="H5" s="183" t="str">
        <x:v>SKU</x:v>
      </x:c>
      <x:c r="I5" s="204" t="str">
        <x:v>11101452</x:v>
      </x:c>
      <x:c r="J5" s="183" t="str">
        <x:v>3mL</x:v>
      </x:c>
      <x:c r="K5" s="183" t="str"/>
      <x:c r="L5" s="183" t="str">
        <x:v>Elastomer</x:v>
      </x:c>
      <x:c r="M5" s="183" t="str">
        <x:v>RTU</x:v>
      </x:c>
      <x:c r="N5" s="183" t="str"/>
      <x:c r="O5" s="183" t="str"/>
      <x:c r="P5" s="183" t="str"/>
      <x:c r="Q5" s="183" t="str"/>
      <x:c r="R5" s="183" t="str">
        <x:v>Global / availability varies</x:v>
      </x:c>
      <x:c r="S5" s="183" t="str">
        <x:v>Observed in public West online-store indexing; account availability may differ</x:v>
      </x:c>
      <x:c r="T5" s="183" t="str">
        <x:v>Active</x:v>
      </x:c>
      <x:c r="U5" s="183" t="str">
        <x:v>High</x:v>
      </x:c>
      <x:c r="V5" s="183" t="str">
        <x:v>Public store SKU verified</x:v>
      </x:c>
      <x:c r="W5" s="183" t="str">
        <x:v>West Online Store indexed product page</x:v>
      </x:c>
      <x:c r="X5" s="183" t="str">
        <x:v>https://www.westpharma.com/online-store/all-products</x:v>
      </x:c>
      <x:c r="Y5" s="198" t="n">
        <x:v>46224.942662037036</x:v>
      </x:c>
      <x:c r="Z5" s="198" t="n">
        <x:v>46224.942662037036</x:v>
      </x:c>
      <x:c r="AA5" s="183" t="n">
        <x:v>0</x:v>
      </x:c>
      <x:c r="AB5" s="183" t="n">
        <x:v>1</x:v>
      </x:c>
      <x:c r="AC5" s="183" t="str">
        <x:v>Exact product-detail URL should be refreshed by the Playwright crawler; duplicate item-number rows are deduplicated by canonical SKU key. Public-source seed researched through 2026-07-21.</x:v>
      </x:c>
      <x:c r="AD5" s="184" t="str">
        <x:f>IF(OR(T5&lt;&gt;"Active",U5="Low",ISNUMBER(SEARCH("not publicly",V5)),ISNUMBER(SEARCH("review",T5))),"REVIEW","OK")</x:f>
        <x:v>OK</x:v>
      </x:c>
    </x:row>
    <x:row r="6">
      <x:c r="A6" s="185" t="str">
        <x:v>url:b3e43a1a8d17de6e7697</x:v>
      </x:c>
      <x:c r="B6" s="180" t="str">
        <x:v>West Pharmaceutical Services, Inc.</x:v>
      </x:c>
      <x:c r="C6" s="180" t="str">
        <x:v>Parent / consolidated</x:v>
      </x:c>
      <x:c r="D6" s="180" t="str">
        <x:v>FluroTec</x:v>
      </x:c>
      <x:c r="E6" s="180" t="str">
        <x:v>Cartridge Components</x:v>
      </x:c>
      <x:c r="F6" s="180" t="str">
        <x:v>Plungers and seals</x:v>
      </x:c>
      <x:c r="G6" s="180" t="str">
        <x:v>FluroTec Cartridge Plungers</x:v>
      </x:c>
      <x:c r="H6" s="180" t="str">
        <x:v>Family</x:v>
      </x:c>
      <x:c r="I6" s="205" t="str"/>
      <x:c r="J6" s="180" t="str">
        <x:v>5-10mL / large-volume cartridge applications</x:v>
      </x:c>
      <x:c r="K6" s="180" t="str"/>
      <x:c r="L6" s="180" t="str"/>
      <x:c r="M6" s="180" t="str">
        <x:v>Configuration dependent</x:v>
      </x:c>
      <x:c r="N6" s="180" t="str">
        <x:v>FluroTec barrier film</x:v>
      </x:c>
      <x:c r="O6" s="180" t="str"/>
      <x:c r="P6" s="180" t="str"/>
      <x:c r="Q6" s="180" t="str"/>
      <x:c r="R6" s="180" t="str">
        <x:v>Global / availability varies</x:v>
      </x:c>
      <x:c r="S6" s="180" t="str">
        <x:v>Contact West / account dependent</x:v>
      </x:c>
      <x:c r="T6" s="180" t="str">
        <x:v>Active</x:v>
      </x:c>
      <x:c r="U6" s="180" t="str">
        <x:v>High</x:v>
      </x:c>
      <x:c r="V6" s="180" t="str">
        <x:v>Public family verified</x:v>
      </x:c>
      <x:c r="W6" s="180" t="str">
        <x:v>West official website</x:v>
      </x:c>
      <x:c r="X6" s="180" t="str">
        <x:v>https://www.westpharma.com/products/cartridge-components/flurotec-cartridge-plungers</x:v>
      </x:c>
      <x:c r="Y6" s="199" t="n">
        <x:v>46224.942662037036</x:v>
      </x:c>
      <x:c r="Z6" s="199" t="n">
        <x:v>46224.942662037036</x:v>
      </x:c>
      <x:c r="AA6" s="180" t="n">
        <x:v>0</x:v>
      </x:c>
      <x:c r="AB6" s="180" t="n">
        <x:v>1</x:v>
      </x:c>
      <x:c r="AC6" s="180" t="str">
        <x:v>Public-source seed researched through 2026-07-21.</x:v>
      </x:c>
      <x:c r="AD6" s="186" t="str">
        <x:f>IF(OR(T6&lt;&gt;"Active",U6="Low",ISNUMBER(SEARCH("not publicly",V6)),ISNUMBER(SEARCH("review",T6))),"REVIEW","OK")</x:f>
        <x:v>OK</x:v>
      </x:c>
    </x:row>
    <x:row r="7">
      <x:c r="A7" s="185" t="str">
        <x:v>url:6d49a0c57d1922c14f58</x:v>
      </x:c>
      <x:c r="B7" s="180" t="str">
        <x:v>West Pharmaceutical Services, Inc.</x:v>
      </x:c>
      <x:c r="C7" s="180" t="str">
        <x:v>Parent / consolidated</x:v>
      </x:c>
      <x:c r="D7" s="180" t="str">
        <x:v>NovaPure</x:v>
      </x:c>
      <x:c r="E7" s="180" t="str">
        <x:v>Cartridge Components</x:v>
      </x:c>
      <x:c r="F7" s="180" t="str">
        <x:v>Plungers and seals</x:v>
      </x:c>
      <x:c r="G7" s="180" t="str">
        <x:v>NovaPure Cartridge Components</x:v>
      </x:c>
      <x:c r="H7" s="180" t="str">
        <x:v>Family</x:v>
      </x:c>
      <x:c r="I7" s="205" t="str"/>
      <x:c r="J7" s="180" t="str">
        <x:v>3mL glass cartridge platform</x:v>
      </x:c>
      <x:c r="K7" s="180" t="str"/>
      <x:c r="L7" s="180" t="str"/>
      <x:c r="M7" s="180" t="str">
        <x:v>Ready-to-use options</x:v>
      </x:c>
      <x:c r="N7" s="180" t="str">
        <x:v>FluroTec / design dependent</x:v>
      </x:c>
      <x:c r="O7" s="180" t="str"/>
      <x:c r="P7" s="180" t="str"/>
      <x:c r="Q7" s="180" t="str"/>
      <x:c r="R7" s="180" t="str">
        <x:v>Global / availability varies</x:v>
      </x:c>
      <x:c r="S7" s="180" t="str">
        <x:v>Contact West / account dependent</x:v>
      </x:c>
      <x:c r="T7" s="180" t="str">
        <x:v>Active</x:v>
      </x:c>
      <x:c r="U7" s="180" t="str">
        <x:v>High</x:v>
      </x:c>
      <x:c r="V7" s="180" t="str">
        <x:v>Public family verified</x:v>
      </x:c>
      <x:c r="W7" s="180" t="str">
        <x:v>West official website</x:v>
      </x:c>
      <x:c r="X7" s="180" t="str">
        <x:v>https://www.westpharma.com/products/cartridge-components/novapure-glass-3ml-cartridge-component</x:v>
      </x:c>
      <x:c r="Y7" s="199" t="n">
        <x:v>46224.942662037036</x:v>
      </x:c>
      <x:c r="Z7" s="199" t="n">
        <x:v>46224.942662037036</x:v>
      </x:c>
      <x:c r="AA7" s="180" t="n">
        <x:v>0</x:v>
      </x:c>
      <x:c r="AB7" s="180" t="n">
        <x:v>1</x:v>
      </x:c>
      <x:c r="AC7" s="180" t="str">
        <x:v>Public-source seed researched through 2026-07-21.</x:v>
      </x:c>
      <x:c r="AD7" s="186" t="str">
        <x:f>IF(OR(T7&lt;&gt;"Active",U7="Low",ISNUMBER(SEARCH("not publicly",V7)),ISNUMBER(SEARCH("review",T7))),"REVIEW","OK")</x:f>
        <x:v>OK</x:v>
      </x:c>
    </x:row>
    <x:row r="8">
      <x:c r="A8" s="185" t="str">
        <x:v>url:315ab3141130e959ef7d</x:v>
      </x:c>
      <x:c r="B8" s="180" t="str">
        <x:v>West Pharmaceutical Services, Inc.</x:v>
      </x:c>
      <x:c r="C8" s="180" t="str">
        <x:v>Parent / consolidated</x:v>
      </x:c>
      <x:c r="D8" s="180" t="str">
        <x:v>Westar</x:v>
      </x:c>
      <x:c r="E8" s="180" t="str">
        <x:v>Cartridge Components</x:v>
      </x:c>
      <x:c r="F8" s="180" t="str">
        <x:v>Plungers and seals</x:v>
      </x:c>
      <x:c r="G8" s="180" t="str">
        <x:v>Westar RU and RS Cartridge Plungers</x:v>
      </x:c>
      <x:c r="H8" s="180" t="str">
        <x:v>Family</x:v>
      </x:c>
      <x:c r="I8" s="205" t="str"/>
      <x:c r="J8" s="180" t="str">
        <x:v>Multiple configurations</x:v>
      </x:c>
      <x:c r="K8" s="180" t="str"/>
      <x:c r="L8" s="180" t="str"/>
      <x:c r="M8" s="180" t="str">
        <x:v>Ready-to-use and ready-to-sterilize</x:v>
      </x:c>
      <x:c r="N8" s="180" t="str">
        <x:v>Varies</x:v>
      </x:c>
      <x:c r="O8" s="180" t="str"/>
      <x:c r="P8" s="180" t="str"/>
      <x:c r="Q8" s="180" t="str"/>
      <x:c r="R8" s="180" t="str">
        <x:v>Global / availability varies</x:v>
      </x:c>
      <x:c r="S8" s="180" t="str">
        <x:v>Contact West / account dependent</x:v>
      </x:c>
      <x:c r="T8" s="180" t="str">
        <x:v>Active</x:v>
      </x:c>
      <x:c r="U8" s="180" t="str">
        <x:v>High</x:v>
      </x:c>
      <x:c r="V8" s="180" t="str">
        <x:v>Public family verified</x:v>
      </x:c>
      <x:c r="W8" s="180" t="str">
        <x:v>West official website</x:v>
      </x:c>
      <x:c r="X8" s="180" t="str">
        <x:v>https://www.westpharma.com/products/cartridge-components/westar-ru-rs-cartridge-plungers</x:v>
      </x:c>
      <x:c r="Y8" s="199" t="n">
        <x:v>46224.942662037036</x:v>
      </x:c>
      <x:c r="Z8" s="199" t="n">
        <x:v>46224.942662037036</x:v>
      </x:c>
      <x:c r="AA8" s="180" t="n">
        <x:v>0</x:v>
      </x:c>
      <x:c r="AB8" s="180" t="n">
        <x:v>1</x:v>
      </x:c>
      <x:c r="AC8" s="180" t="str">
        <x:v>Public-source seed researched through 2026-07-21.</x:v>
      </x:c>
      <x:c r="AD8" s="186" t="str">
        <x:f>IF(OR(T8&lt;&gt;"Active",U8="Low",ISNUMBER(SEARCH("not publicly",V8)),ISNUMBER(SEARCH("review",T8))),"REVIEW","OK")</x:f>
        <x:v>OK</x:v>
      </x:c>
    </x:row>
    <x:row r="9">
      <x:c r="A9" s="185" t="str">
        <x:v>url:f360c3749a8bed786d0c</x:v>
      </x:c>
      <x:c r="B9" s="180" t="str">
        <x:v>West Pharmaceutical Services, Inc.</x:v>
      </x:c>
      <x:c r="C9" s="180" t="str">
        <x:v>Parent / consolidated</x:v>
      </x:c>
      <x:c r="D9" s="180" t="str">
        <x:v>Westar</x:v>
      </x:c>
      <x:c r="E9" s="180" t="str">
        <x:v>Cartridge Components</x:v>
      </x:c>
      <x:c r="F9" s="180" t="str">
        <x:v>Plungers and seals</x:v>
      </x:c>
      <x:c r="G9" s="180" t="str">
        <x:v>Westar RU and RS Lined Cartridge Seals</x:v>
      </x:c>
      <x:c r="H9" s="180" t="str">
        <x:v>Family</x:v>
      </x:c>
      <x:c r="I9" s="205" t="str"/>
      <x:c r="J9" s="180" t="str">
        <x:v>Single-dose and multi-dose applications</x:v>
      </x:c>
      <x:c r="K9" s="180" t="str"/>
      <x:c r="L9" s="180" t="str"/>
      <x:c r="M9" s="180" t="str">
        <x:v>Ready-to-use and ready-to-sterilize</x:v>
      </x:c>
      <x:c r="N9" s="180" t="str">
        <x:v>Bilayer laminate</x:v>
      </x:c>
      <x:c r="O9" s="180" t="str"/>
      <x:c r="P9" s="180" t="str"/>
      <x:c r="Q9" s="180" t="str"/>
      <x:c r="R9" s="180" t="str">
        <x:v>Global / availability varies</x:v>
      </x:c>
      <x:c r="S9" s="180" t="str">
        <x:v>Contact West / account dependent</x:v>
      </x:c>
      <x:c r="T9" s="180" t="str">
        <x:v>Active</x:v>
      </x:c>
      <x:c r="U9" s="180" t="str">
        <x:v>High</x:v>
      </x:c>
      <x:c r="V9" s="180" t="str">
        <x:v>Public family verified</x:v>
      </x:c>
      <x:c r="W9" s="180" t="str">
        <x:v>West official website</x:v>
      </x:c>
      <x:c r="X9" s="180" t="str">
        <x:v>https://www.westpharma.com/products/cartridge-components/westar-ready-to-use-sterilize-lined-seals-caps</x:v>
      </x:c>
      <x:c r="Y9" s="199" t="n">
        <x:v>46224.942662037036</x:v>
      </x:c>
      <x:c r="Z9" s="199" t="n">
        <x:v>46224.942662037036</x:v>
      </x:c>
      <x:c r="AA9" s="180" t="n">
        <x:v>0</x:v>
      </x:c>
      <x:c r="AB9" s="180" t="n">
        <x:v>1</x:v>
      </x:c>
      <x:c r="AC9" s="180" t="str">
        <x:v>Public-source seed researched through 2026-07-21.</x:v>
      </x:c>
      <x:c r="AD9" s="186" t="str">
        <x:f>IF(OR(T9&lt;&gt;"Active",U9="Low",ISNUMBER(SEARCH("not publicly",V9)),ISNUMBER(SEARCH("review",T9))),"REVIEW","OK")</x:f>
        <x:v>OK</x:v>
      </x:c>
    </x:row>
    <x:row r="10">
      <x:c r="A10" s="185" t="str">
        <x:v>url:7ff5e4aa7c842e25e790</x:v>
      </x:c>
      <x:c r="B10" s="180" t="str">
        <x:v>West Pharmaceutical Services, Inc.</x:v>
      </x:c>
      <x:c r="C10" s="180" t="str">
        <x:v>Parent / consolidated</x:v>
      </x:c>
      <x:c r="D10" s="180" t="str">
        <x:v>Westar Select</x:v>
      </x:c>
      <x:c r="E10" s="180" t="str">
        <x:v>Cartridge Components</x:v>
      </x:c>
      <x:c r="F10" s="180" t="str">
        <x:v>Plungers and seals</x:v>
      </x:c>
      <x:c r="G10" s="180" t="str">
        <x:v>Westar Select Cartridge Plungers</x:v>
      </x:c>
      <x:c r="H10" s="180" t="str">
        <x:v>Family</x:v>
      </x:c>
      <x:c r="I10" s="205" t="str"/>
      <x:c r="J10" s="180" t="str">
        <x:v>Multiple configurations</x:v>
      </x:c>
      <x:c r="K10" s="180" t="str"/>
      <x:c r="L10" s="180" t="str"/>
      <x:c r="M10" s="180" t="str">
        <x:v>RTS and RTU</x:v>
      </x:c>
      <x:c r="N10" s="180" t="str">
        <x:v>Varies</x:v>
      </x:c>
      <x:c r="O10" s="180" t="str"/>
      <x:c r="P10" s="180" t="str"/>
      <x:c r="Q10" s="180" t="str"/>
      <x:c r="R10" s="180" t="str">
        <x:v>Global / availability varies</x:v>
      </x:c>
      <x:c r="S10" s="180" t="str">
        <x:v>Contact West / account dependent</x:v>
      </x:c>
      <x:c r="T10" s="180" t="str">
        <x:v>Active</x:v>
      </x:c>
      <x:c r="U10" s="180" t="str">
        <x:v>High</x:v>
      </x:c>
      <x:c r="V10" s="180" t="str">
        <x:v>Public family verified</x:v>
      </x:c>
      <x:c r="W10" s="180" t="str">
        <x:v>West official website</x:v>
      </x:c>
      <x:c r="X10" s="180" t="str">
        <x:v>https://www.westpharma.com/products/cartridge-components/westar-select-cartridge-plungers</x:v>
      </x:c>
      <x:c r="Y10" s="199" t="n">
        <x:v>46224.942662037036</x:v>
      </x:c>
      <x:c r="Z10" s="199" t="n">
        <x:v>46224.942662037036</x:v>
      </x:c>
      <x:c r="AA10" s="180" t="n">
        <x:v>0</x:v>
      </x:c>
      <x:c r="AB10" s="180" t="n">
        <x:v>1</x:v>
      </x:c>
      <x:c r="AC10" s="180" t="str">
        <x:v>Public-source seed researched through 2026-07-21.</x:v>
      </x:c>
      <x:c r="AD10" s="186" t="str">
        <x:f>IF(OR(T10&lt;&gt;"Active",U10="Low",ISNUMBER(SEARCH("not publicly",V10)),ISNUMBER(SEARCH("review",T10))),"REVIEW","OK")</x:f>
        <x:v>OK</x:v>
      </x:c>
    </x:row>
    <x:row r="11">
      <x:c r="A11" s="185" t="str">
        <x:v>url:aeb6eb0d29e715a498d1</x:v>
      </x:c>
      <x:c r="B11" s="180" t="str">
        <x:v>Daikyo Seiko, Ltd.</x:v>
      </x:c>
      <x:c r="C11" s="180" t="str">
        <x:v>49%-owned affiliate; selected technology licensed/distributed by West</x:v>
      </x:c>
      <x:c r="D11" s="180" t="str">
        <x:v>Daikyo</x:v>
      </x:c>
      <x:c r="E11" s="180" t="str">
        <x:v>Daikyo Affiliate Products</x:v>
      </x:c>
      <x:c r="F11" s="180" t="str">
        <x:v>Packages for vial formulations</x:v>
      </x:c>
      <x:c r="G11" s="180" t="str">
        <x:v>Daikyo Crystal Zenith Vials</x:v>
      </x:c>
      <x:c r="H11" s="180" t="str">
        <x:v>Family</x:v>
      </x:c>
      <x:c r="I11" s="205" t="str"/>
      <x:c r="J11" s="180" t="str">
        <x:v>Wide range</x:v>
      </x:c>
      <x:c r="K11" s="180" t="str"/>
      <x:c r="L11" s="180" t="str"/>
      <x:c r="M11" s="180" t="str">
        <x:v>Electron-beam or autoclave sterilized options</x:v>
      </x:c>
      <x:c r="N11" s="180" t="str"/>
      <x:c r="O11" s="180" t="str"/>
      <x:c r="P11" s="180" t="str"/>
      <x:c r="Q11" s="180" t="str"/>
      <x:c r="R11" s="180" t="str">
        <x:v>Global / availability varies</x:v>
      </x:c>
      <x:c r="S11" s="180" t="str">
        <x:v>Contact West / account dependent</x:v>
      </x:c>
      <x:c r="T11" s="180" t="str">
        <x:v>Active</x:v>
      </x:c>
      <x:c r="U11" s="180" t="str">
        <x:v>High</x:v>
      </x:c>
      <x:c r="V11" s="180" t="str">
        <x:v>Affiliate public family/configuration verified</x:v>
      </x:c>
      <x:c r="W11" s="180" t="str">
        <x:v>Daikyo official product site</x:v>
      </x:c>
      <x:c r="X11" s="180" t="str">
        <x:v>https://www.daikyoseiko.jp/en/product/cz/</x:v>
      </x:c>
      <x:c r="Y11" s="199" t="n">
        <x:v>46224.942662037036</x:v>
      </x:c>
      <x:c r="Z11" s="199" t="n">
        <x:v>46224.942662037036</x:v>
      </x:c>
      <x:c r="AA11" s="180" t="n">
        <x:v>0</x:v>
      </x:c>
      <x:c r="AB11" s="180" t="n">
        <x:v>1</x:v>
      </x:c>
      <x:c r="AC11" s="180" t="str">
        <x:v>Includes standard, bulk drug storage and custom container possibilities; exact catalog requires Daikyo portal review. Public-source seed researched through 2026-07-21.</x:v>
      </x:c>
      <x:c r="AD11" s="186" t="str">
        <x:f>IF(OR(T11&lt;&gt;"Active",U11="Low",ISNUMBER(SEARCH("not publicly",V11)),ISNUMBER(SEARCH("review",T11))),"REVIEW","OK")</x:f>
        <x:v>OK</x:v>
      </x:c>
    </x:row>
    <x:row r="12">
      <x:c r="A12" s="185" t="str">
        <x:v>url:4fda5f909923facb10b7</x:v>
      </x:c>
      <x:c r="B12" s="180" t="str">
        <x:v>Daikyo Seiko, Ltd.</x:v>
      </x:c>
      <x:c r="C12" s="180" t="str">
        <x:v>49%-owned affiliate; selected technology licensed/distributed by West</x:v>
      </x:c>
      <x:c r="D12" s="180" t="str">
        <x:v>Daikyo</x:v>
      </x:c>
      <x:c r="E12" s="180" t="str">
        <x:v>Daikyo Affiliate Products</x:v>
      </x:c>
      <x:c r="F12" s="180" t="str">
        <x:v>Packages for vial formulations</x:v>
      </x:c>
      <x:c r="G12" s="180" t="str">
        <x:v>Daikyo Laminated Rubber Stoppers</x:v>
      </x:c>
      <x:c r="H12" s="180" t="str">
        <x:v>Family</x:v>
      </x:c>
      <x:c r="I12" s="205" t="str"/>
      <x:c r="J12" s="180" t="str">
        <x:v>Wide range; liquid, powder, lyo and infusion</x:v>
      </x:c>
      <x:c r="K12" s="180" t="str"/>
      <x:c r="L12" s="180" t="str"/>
      <x:c r="M12" s="180" t="str">
        <x:v>RSV final-rinsed and RUV steam-sterilized options</x:v>
      </x:c>
      <x:c r="N12" s="180" t="str"/>
      <x:c r="O12" s="180" t="str"/>
      <x:c r="P12" s="180" t="str"/>
      <x:c r="Q12" s="180" t="str"/>
      <x:c r="R12" s="180" t="str">
        <x:v>Global / availability varies</x:v>
      </x:c>
      <x:c r="S12" s="180" t="str">
        <x:v>Contact West / account dependent</x:v>
      </x:c>
      <x:c r="T12" s="180" t="str">
        <x:v>Active</x:v>
      </x:c>
      <x:c r="U12" s="180" t="str">
        <x:v>High</x:v>
      </x:c>
      <x:c r="V12" s="180" t="str">
        <x:v>Affiliate public family/configuration verified</x:v>
      </x:c>
      <x:c r="W12" s="180" t="str">
        <x:v>Daikyo official product site</x:v>
      </x:c>
      <x:c r="X12" s="180" t="str">
        <x:v>https://www.daikyoseiko.jp/en/product/rubber/</x:v>
      </x:c>
      <x:c r="Y12" s="199" t="n">
        <x:v>46224.942662037036</x:v>
      </x:c>
      <x:c r="Z12" s="199" t="n">
        <x:v>46224.942662037036</x:v>
      </x:c>
      <x:c r="AA12" s="180" t="n">
        <x:v>0</x:v>
      </x:c>
      <x:c r="AB12" s="180" t="n">
        <x:v>1</x:v>
      </x:c>
      <x:c r="AC12" s="180" t="str">
        <x:v>FluroTec laminated drug-contact area. Public-source seed researched through 2026-07-21.</x:v>
      </x:c>
      <x:c r="AD12" s="186" t="str">
        <x:f>IF(OR(T12&lt;&gt;"Active",U12="Low",ISNUMBER(SEARCH("not publicly",V12)),ISNUMBER(SEARCH("review",T12))),"REVIEW","OK")</x:f>
        <x:v>OK</x:v>
      </x:c>
    </x:row>
    <x:row r="13">
      <x:c r="A13" s="185" t="str">
        <x:v>url:acc0273f22c188d227e8</x:v>
      </x:c>
      <x:c r="B13" s="180" t="str">
        <x:v>Daikyo Seiko, Ltd.</x:v>
      </x:c>
      <x:c r="C13" s="180" t="str">
        <x:v>49%-owned affiliate; selected technology licensed/distributed by West</x:v>
      </x:c>
      <x:c r="D13" s="180" t="str">
        <x:v>Daikyo</x:v>
      </x:c>
      <x:c r="E13" s="180" t="str">
        <x:v>Daikyo Affiliate Products</x:v>
      </x:c>
      <x:c r="F13" s="180" t="str">
        <x:v>Packages for vial formulations</x:v>
      </x:c>
      <x:c r="G13" s="180" t="str">
        <x:v>Daikyo PLASCAP</x:v>
      </x:c>
      <x:c r="H13" s="180" t="str">
        <x:v>Family</x:v>
      </x:c>
      <x:c r="I13" s="205" t="str"/>
      <x:c r="J13" s="180" t="str">
        <x:v>Custom stopper/closure fit</x:v>
      </x:c>
      <x:c r="K13" s="180" t="str"/>
      <x:c r="L13" s="180" t="str"/>
      <x:c r="M13" s="180" t="str">
        <x:v>Electron-beam sterilized</x:v>
      </x:c>
      <x:c r="N13" s="180" t="str"/>
      <x:c r="O13" s="180" t="str"/>
      <x:c r="P13" s="180" t="str"/>
      <x:c r="Q13" s="180" t="str"/>
      <x:c r="R13" s="180" t="str">
        <x:v>Global / availability varies</x:v>
      </x:c>
      <x:c r="S13" s="180" t="str">
        <x:v>Contact West / account dependent</x:v>
      </x:c>
      <x:c r="T13" s="180" t="str">
        <x:v>Active</x:v>
      </x:c>
      <x:c r="U13" s="180" t="str">
        <x:v>High</x:v>
      </x:c>
      <x:c r="V13" s="180" t="str">
        <x:v>Affiliate public family/configuration verified</x:v>
      </x:c>
      <x:c r="W13" s="180" t="str">
        <x:v>Daikyo official product site</x:v>
      </x:c>
      <x:c r="X13" s="180" t="str">
        <x:v>https://www.daikyoseiko.jp/en/product/plascap/</x:v>
      </x:c>
      <x:c r="Y13" s="199" t="n">
        <x:v>46224.942662037036</x:v>
      </x:c>
      <x:c r="Z13" s="199" t="n">
        <x:v>46224.942662037036</x:v>
      </x:c>
      <x:c r="AA13" s="180" t="n">
        <x:v>0</x:v>
      </x:c>
      <x:c r="AB13" s="180" t="n">
        <x:v>1</x:v>
      </x:c>
      <x:c r="AC13" s="180" t="str">
        <x:v>Plastic cap with pre-assembled customized rubber stopper. Public-source seed researched through 2026-07-21.</x:v>
      </x:c>
      <x:c r="AD13" s="186" t="str">
        <x:f>IF(OR(T13&lt;&gt;"Active",U13="Low",ISNUMBER(SEARCH("not publicly",V13)),ISNUMBER(SEARCH("review",T13))),"REVIEW","OK")</x:f>
        <x:v>OK</x:v>
      </x:c>
    </x:row>
    <x:row r="14">
      <x:c r="A14" s="185" t="str">
        <x:v>url:4c31679257be4c417b67</x:v>
      </x:c>
      <x:c r="B14" s="180" t="str">
        <x:v>Daikyo Seiko, Ltd.</x:v>
      </x:c>
      <x:c r="C14" s="180" t="str">
        <x:v>49%-owned affiliate; selected technology licensed/distributed by West</x:v>
      </x:c>
      <x:c r="D14" s="180" t="str">
        <x:v>Daikyo</x:v>
      </x:c>
      <x:c r="E14" s="180" t="str">
        <x:v>Daikyo Affiliate Products</x:v>
      </x:c>
      <x:c r="F14" s="180" t="str">
        <x:v>Syringes and cartridges</x:v>
      </x:c>
      <x:c r="G14" s="180" t="str">
        <x:v>Daikyo Crystal Zenith Cartridges</x:v>
      </x:c>
      <x:c r="H14" s="180" t="str">
        <x:v>Family</x:v>
      </x:c>
      <x:c r="I14" s="205" t="str"/>
      <x:c r="J14" s="180" t="str">
        <x:v>ISO 1mL and 3mL</x:v>
      </x:c>
      <x:c r="K14" s="180" t="str"/>
      <x:c r="L14" s="180" t="str"/>
      <x:c r="M14" s="180" t="str">
        <x:v>Tray packaging</x:v>
      </x:c>
      <x:c r="N14" s="180" t="str"/>
      <x:c r="O14" s="180" t="str"/>
      <x:c r="P14" s="180" t="str"/>
      <x:c r="Q14" s="180" t="str"/>
      <x:c r="R14" s="180" t="str">
        <x:v>Global / availability varies</x:v>
      </x:c>
      <x:c r="S14" s="180" t="str">
        <x:v>Contact West / account dependent</x:v>
      </x:c>
      <x:c r="T14" s="180" t="str">
        <x:v>Active</x:v>
      </x:c>
      <x:c r="U14" s="180" t="str">
        <x:v>High</x:v>
      </x:c>
      <x:c r="V14" s="180" t="str">
        <x:v>Affiliate public family/configuration verified</x:v>
      </x:c>
      <x:c r="W14" s="180" t="str">
        <x:v>Daikyo official product site</x:v>
      </x:c>
      <x:c r="X14" s="180" t="str">
        <x:v>https://www.daikyoseiko.jp/en/product/daikyo-cz/</x:v>
      </x:c>
      <x:c r="Y14" s="199" t="n">
        <x:v>46224.942662037036</x:v>
      </x:c>
      <x:c r="Z14" s="199" t="n">
        <x:v>46224.942662037036</x:v>
      </x:c>
      <x:c r="AA14" s="180" t="n">
        <x:v>0</x:v>
      </x:c>
      <x:c r="AB14" s="180" t="n">
        <x:v>1</x:v>
      </x:c>
      <x:c r="AC14" s="180" t="str">
        <x:v>Includes CZ cartridge, laminated pistons and cartridge caps. Public-source seed researched through 2026-07-21.</x:v>
      </x:c>
      <x:c r="AD14" s="186" t="str">
        <x:f>IF(OR(T14&lt;&gt;"Active",U14="Low",ISNUMBER(SEARCH("not publicly",V14)),ISNUMBER(SEARCH("review",T14))),"REVIEW","OK")</x:f>
        <x:v>OK</x:v>
      </x:c>
    </x:row>
    <x:row r="15">
      <x:c r="A15" s="185" t="str">
        <x:v>url:316f95dbe295cf030503</x:v>
      </x:c>
      <x:c r="B15" s="180" t="str">
        <x:v>Daikyo Seiko, Ltd.</x:v>
      </x:c>
      <x:c r="C15" s="180" t="str">
        <x:v>49%-owned affiliate; selected technology licensed/distributed by West</x:v>
      </x:c>
      <x:c r="D15" s="180" t="str">
        <x:v>Daikyo</x:v>
      </x:c>
      <x:c r="E15" s="180" t="str">
        <x:v>Daikyo Affiliate Products</x:v>
      </x:c>
      <x:c r="F15" s="180" t="str">
        <x:v>Syringes and cartridges</x:v>
      </x:c>
      <x:c r="G15" s="180" t="str">
        <x:v>Daikyo Crystal Zenith Syringes</x:v>
      </x:c>
      <x:c r="H15" s="180" t="str">
        <x:v>Family</x:v>
      </x:c>
      <x:c r="I15" s="205" t="str"/>
      <x:c r="J15" s="180" t="str">
        <x:v>0.25mL to 150mL</x:v>
      </x:c>
      <x:c r="K15" s="180" t="str"/>
      <x:c r="L15" s="180" t="str"/>
      <x:c r="M15" s="180" t="str">
        <x:v>Bulk or tub/nest; selected sterile models</x:v>
      </x:c>
      <x:c r="N15" s="180" t="str"/>
      <x:c r="O15" s="180" t="str"/>
      <x:c r="P15" s="180" t="str"/>
      <x:c r="Q15" s="180" t="str"/>
      <x:c r="R15" s="180" t="str">
        <x:v>Global / availability varies</x:v>
      </x:c>
      <x:c r="S15" s="180" t="str">
        <x:v>Contact West / account dependent</x:v>
      </x:c>
      <x:c r="T15" s="180" t="str">
        <x:v>Active</x:v>
      </x:c>
      <x:c r="U15" s="180" t="str">
        <x:v>High</x:v>
      </x:c>
      <x:c r="V15" s="180" t="str">
        <x:v>Affiliate public family/configuration verified</x:v>
      </x:c>
      <x:c r="W15" s="180" t="str">
        <x:v>Daikyo official product site</x:v>
      </x:c>
      <x:c r="X15" s="180" t="str">
        <x:v>https://www.daikyoseiko.jp/en/product/daikyo-cz/</x:v>
      </x:c>
      <x:c r="Y15" s="199" t="n">
        <x:v>46224.942662037036</x:v>
      </x:c>
      <x:c r="Z15" s="199" t="n">
        <x:v>46224.942662037036</x:v>
      </x:c>
      <x:c r="AA15" s="180" t="n">
        <x:v>0</x:v>
      </x:c>
      <x:c r="AB15" s="180" t="n">
        <x:v>1</x:v>
      </x:c>
      <x:c r="AC15" s="180" t="str">
        <x:v>Barrel, plunger rod, laminated piston and nozzle cap manufactured in-house. Public-source seed researched through 2026-07-21.</x:v>
      </x:c>
      <x:c r="AD15" s="186" t="str">
        <x:f>IF(OR(T15&lt;&gt;"Active",U15="Low",ISNUMBER(SEARCH("not publicly",V15)),ISNUMBER(SEARCH("review",T15))),"REVIEW","OK")</x:f>
        <x:v>OK</x:v>
      </x:c>
    </x:row>
    <x:row r="16">
      <x:c r="A16" s="185" t="str">
        <x:v>url:d710b8cc0f28db7c4af8</x:v>
      </x:c>
      <x:c r="B16" s="180" t="str">
        <x:v>Daikyo Seiko, Ltd.</x:v>
      </x:c>
      <x:c r="C16" s="180" t="str">
        <x:v>49%-owned affiliate; selected technology licensed/distributed by West</x:v>
      </x:c>
      <x:c r="D16" s="180" t="str">
        <x:v>Daikyo</x:v>
      </x:c>
      <x:c r="E16" s="180" t="str">
        <x:v>Daikyo Affiliate Products</x:v>
      </x:c>
      <x:c r="F16" s="180" t="str">
        <x:v>Syringes and cartridges</x:v>
      </x:c>
      <x:c r="G16" s="180" t="str">
        <x:v>Daikyo Sterilized CZ Syringe 0.5mL Luer Lock</x:v>
      </x:c>
      <x:c r="H16" s="180" t="str">
        <x:v>Family</x:v>
      </x:c>
      <x:c r="I16" s="205" t="str"/>
      <x:c r="J16" s="180" t="str">
        <x:v>0.5mL LL</x:v>
      </x:c>
      <x:c r="K16" s="180" t="str"/>
      <x:c r="L16" s="180" t="str"/>
      <x:c r="M16" s="180" t="str">
        <x:v>Electron-beam; tub/nest</x:v>
      </x:c>
      <x:c r="N16" s="180" t="str"/>
      <x:c r="O16" s="180" t="str"/>
      <x:c r="P16" s="180" t="str"/>
      <x:c r="Q16" s="180" t="str"/>
      <x:c r="R16" s="180" t="str">
        <x:v>Global / availability varies</x:v>
      </x:c>
      <x:c r="S16" s="180" t="str">
        <x:v>Contact West / account dependent</x:v>
      </x:c>
      <x:c r="T16" s="180" t="str">
        <x:v>Active</x:v>
      </x:c>
      <x:c r="U16" s="180" t="str">
        <x:v>High</x:v>
      </x:c>
      <x:c r="V16" s="180" t="str">
        <x:v>Affiliate public family/configuration verified</x:v>
      </x:c>
      <x:c r="W16" s="180" t="str">
        <x:v>Daikyo official product site</x:v>
      </x:c>
      <x:c r="X16" s="180" t="str">
        <x:v>https://www.daikyoseiko.jp/en/product/daikyo-cz/</x:v>
      </x:c>
      <x:c r="Y16" s="199" t="n">
        <x:v>46224.942662037036</x:v>
      </x:c>
      <x:c r="Z16" s="199" t="n">
        <x:v>46224.942662037036</x:v>
      </x:c>
      <x:c r="AA16" s="180" t="n">
        <x:v>0</x:v>
      </x:c>
      <x:c r="AB16" s="180" t="n">
        <x:v>1</x:v>
      </x:c>
      <x:c r="AC16" s="180" t="str">
        <x:v>Separate Daikyo site configuration. Public-source seed researched through 2026-07-21.</x:v>
      </x:c>
      <x:c r="AD16" s="186" t="str">
        <x:f>IF(OR(T16&lt;&gt;"Active",U16="Low",ISNUMBER(SEARCH("not publicly",V16)),ISNUMBER(SEARCH("review",T16))),"REVIEW","OK")</x:f>
        <x:v>OK</x:v>
      </x:c>
    </x:row>
    <x:row r="17">
      <x:c r="A17" s="185" t="str">
        <x:v>url:ed4bdfd37443021f2085</x:v>
      </x:c>
      <x:c r="B17" s="180" t="str">
        <x:v>Daikyo Seiko, Ltd.</x:v>
      </x:c>
      <x:c r="C17" s="180" t="str">
        <x:v>49%-owned affiliate; selected technology licensed/distributed by West</x:v>
      </x:c>
      <x:c r="D17" s="180" t="str">
        <x:v>Daikyo</x:v>
      </x:c>
      <x:c r="E17" s="180" t="str">
        <x:v>Daikyo Affiliate Products</x:v>
      </x:c>
      <x:c r="F17" s="180" t="str">
        <x:v>Syringes and cartridges</x:v>
      </x:c>
      <x:c r="G17" s="180" t="str">
        <x:v>Daikyo Sterilized CZ Syringe 1mL Insert Needle Long</x:v>
      </x:c>
      <x:c r="H17" s="180" t="str">
        <x:v>Family</x:v>
      </x:c>
      <x:c r="I17" s="205" t="str"/>
      <x:c r="J17" s="180" t="str">
        <x:v>1mL IN Long</x:v>
      </x:c>
      <x:c r="K17" s="180" t="str"/>
      <x:c r="L17" s="180" t="str"/>
      <x:c r="M17" s="180" t="str">
        <x:v>Electron-beam; tub/nest</x:v>
      </x:c>
      <x:c r="N17" s="180" t="str"/>
      <x:c r="O17" s="180" t="str"/>
      <x:c r="P17" s="180" t="str"/>
      <x:c r="Q17" s="180" t="str"/>
      <x:c r="R17" s="180" t="str">
        <x:v>Global / availability varies</x:v>
      </x:c>
      <x:c r="S17" s="180" t="str">
        <x:v>Contact West / account dependent</x:v>
      </x:c>
      <x:c r="T17" s="180" t="str">
        <x:v>Active</x:v>
      </x:c>
      <x:c r="U17" s="180" t="str">
        <x:v>High</x:v>
      </x:c>
      <x:c r="V17" s="180" t="str">
        <x:v>Affiliate public family/configuration verified</x:v>
      </x:c>
      <x:c r="W17" s="180" t="str">
        <x:v>Daikyo official product site</x:v>
      </x:c>
      <x:c r="X17" s="180" t="str">
        <x:v>https://www.daikyoseiko.jp/en/product/daikyo-cz/</x:v>
      </x:c>
      <x:c r="Y17" s="199" t="n">
        <x:v>46224.942662037036</x:v>
      </x:c>
      <x:c r="Z17" s="199" t="n">
        <x:v>46224.942662037036</x:v>
      </x:c>
      <x:c r="AA17" s="180" t="n">
        <x:v>0</x:v>
      </x:c>
      <x:c r="AB17" s="180" t="n">
        <x:v>1</x:v>
      </x:c>
      <x:c r="AC17" s="180" t="str">
        <x:v>Daikyo states this model is manufactured by West. Public-source seed researched through 2026-07-21.</x:v>
      </x:c>
      <x:c r="AD17" s="186" t="str">
        <x:f>IF(OR(T17&lt;&gt;"Active",U17="Low",ISNUMBER(SEARCH("not publicly",V17)),ISNUMBER(SEARCH("review",T17))),"REVIEW","OK")</x:f>
        <x:v>OK</x:v>
      </x:c>
    </x:row>
    <x:row r="18">
      <x:c r="A18" s="185" t="str">
        <x:v>url:c8fa0bd6676886eb8fc3</x:v>
      </x:c>
      <x:c r="B18" s="180" t="str">
        <x:v>Daikyo Seiko, Ltd.</x:v>
      </x:c>
      <x:c r="C18" s="180" t="str">
        <x:v>49%-owned affiliate; selected technology licensed/distributed by West</x:v>
      </x:c>
      <x:c r="D18" s="180" t="str">
        <x:v>Daikyo</x:v>
      </x:c>
      <x:c r="E18" s="180" t="str">
        <x:v>Daikyo Affiliate Products</x:v>
      </x:c>
      <x:c r="F18" s="180" t="str">
        <x:v>Syringes and cartridges</x:v>
      </x:c>
      <x:c r="G18" s="180" t="str">
        <x:v>Daikyo Sterilized CZ Syringe 1mL Luer Lock</x:v>
      </x:c>
      <x:c r="H18" s="180" t="str">
        <x:v>Family</x:v>
      </x:c>
      <x:c r="I18" s="205" t="str"/>
      <x:c r="J18" s="180" t="str">
        <x:v>1mL LL</x:v>
      </x:c>
      <x:c r="K18" s="180" t="str"/>
      <x:c r="L18" s="180" t="str"/>
      <x:c r="M18" s="180" t="str">
        <x:v>Electron-beam; tub/nest</x:v>
      </x:c>
      <x:c r="N18" s="180" t="str"/>
      <x:c r="O18" s="180" t="str"/>
      <x:c r="P18" s="180" t="str"/>
      <x:c r="Q18" s="180" t="str"/>
      <x:c r="R18" s="180" t="str">
        <x:v>Global / availability varies</x:v>
      </x:c>
      <x:c r="S18" s="180" t="str">
        <x:v>Contact West / account dependent</x:v>
      </x:c>
      <x:c r="T18" s="180" t="str">
        <x:v>Active</x:v>
      </x:c>
      <x:c r="U18" s="180" t="str">
        <x:v>High</x:v>
      </x:c>
      <x:c r="V18" s="180" t="str">
        <x:v>Affiliate public family/configuration verified</x:v>
      </x:c>
      <x:c r="W18" s="180" t="str">
        <x:v>Daikyo official product site</x:v>
      </x:c>
      <x:c r="X18" s="180" t="str">
        <x:v>https://www.daikyoseiko.jp/en/product/daikyo-cz/</x:v>
      </x:c>
      <x:c r="Y18" s="199" t="n">
        <x:v>46224.942662037036</x:v>
      </x:c>
      <x:c r="Z18" s="199" t="n">
        <x:v>46224.942662037036</x:v>
      </x:c>
      <x:c r="AA18" s="180" t="n">
        <x:v>0</x:v>
      </x:c>
      <x:c r="AB18" s="180" t="n">
        <x:v>1</x:v>
      </x:c>
      <x:c r="AC18" s="180" t="str">
        <x:v>Separate Daikyo site configuration. Public-source seed researched through 2026-07-21.</x:v>
      </x:c>
      <x:c r="AD18" s="186" t="str">
        <x:f>IF(OR(T18&lt;&gt;"Active",U18="Low",ISNUMBER(SEARCH("not publicly",V18)),ISNUMBER(SEARCH("review",T18))),"REVIEW","OK")</x:f>
        <x:v>OK</x:v>
      </x:c>
    </x:row>
    <x:row r="19">
      <x:c r="A19" s="185" t="str">
        <x:v>url:bb945cee8bfb166ab60c</x:v>
      </x:c>
      <x:c r="B19" s="180" t="str">
        <x:v>Daikyo Seiko, Ltd.</x:v>
      </x:c>
      <x:c r="C19" s="180" t="str">
        <x:v>49%-owned affiliate; selected technology licensed/distributed by West</x:v>
      </x:c>
      <x:c r="D19" s="180" t="str">
        <x:v>Daikyo</x:v>
      </x:c>
      <x:c r="E19" s="180" t="str">
        <x:v>Daikyo Affiliate Products</x:v>
      </x:c>
      <x:c r="F19" s="180" t="str">
        <x:v>Syringes and cartridges</x:v>
      </x:c>
      <x:c r="G19" s="180" t="str">
        <x:v>Daikyo Sterilized CZ Syringe 2.5mL FMR</x:v>
      </x:c>
      <x:c r="H19" s="180" t="str">
        <x:v>Family</x:v>
      </x:c>
      <x:c r="I19" s="205" t="str"/>
      <x:c r="J19" s="180" t="str">
        <x:v>2.5mL FMR</x:v>
      </x:c>
      <x:c r="K19" s="180" t="str"/>
      <x:c r="L19" s="180" t="str"/>
      <x:c r="M19" s="180" t="str">
        <x:v>Electron-beam; tub/nest</x:v>
      </x:c>
      <x:c r="N19" s="180" t="str"/>
      <x:c r="O19" s="180" t="str"/>
      <x:c r="P19" s="180" t="str"/>
      <x:c r="Q19" s="180" t="str"/>
      <x:c r="R19" s="180" t="str">
        <x:v>Global / availability varies</x:v>
      </x:c>
      <x:c r="S19" s="180" t="str">
        <x:v>Contact West / account dependent</x:v>
      </x:c>
      <x:c r="T19" s="180" t="str">
        <x:v>Active</x:v>
      </x:c>
      <x:c r="U19" s="180" t="str">
        <x:v>High</x:v>
      </x:c>
      <x:c r="V19" s="180" t="str">
        <x:v>Affiliate public family/configuration verified</x:v>
      </x:c>
      <x:c r="W19" s="180" t="str">
        <x:v>Daikyo official product site</x:v>
      </x:c>
      <x:c r="X19" s="180" t="str">
        <x:v>https://www.daikyoseiko.jp/en/product/daikyo-cz/</x:v>
      </x:c>
      <x:c r="Y19" s="199" t="n">
        <x:v>46224.942662037036</x:v>
      </x:c>
      <x:c r="Z19" s="199" t="n">
        <x:v>46224.942662037036</x:v>
      </x:c>
      <x:c r="AA19" s="180" t="n">
        <x:v>0</x:v>
      </x:c>
      <x:c r="AB19" s="180" t="n">
        <x:v>1</x:v>
      </x:c>
      <x:c r="AC19" s="180" t="str">
        <x:v>Separate Daikyo site configuration. Public-source seed researched through 2026-07-21.</x:v>
      </x:c>
      <x:c r="AD19" s="186" t="str">
        <x:f>IF(OR(T19&lt;&gt;"Active",U19="Low",ISNUMBER(SEARCH("not publicly",V19)),ISNUMBER(SEARCH("review",T19))),"REVIEW","OK")</x:f>
        <x:v>OK</x:v>
      </x:c>
    </x:row>
    <x:row r="20">
      <x:c r="A20" s="185" t="str">
        <x:v>fp:766e5b669478ed581cad</x:v>
      </x:c>
      <x:c r="B20" s="180" t="str">
        <x:v>West Pharmaceutical Services, Inc.</x:v>
      </x:c>
      <x:c r="C20" s="180" t="str">
        <x:v>Parent / consolidated</x:v>
      </x:c>
      <x:c r="D20" s="180" t="str">
        <x:v>ConfiDose</x:v>
      </x:c>
      <x:c r="E20" s="180" t="str">
        <x:v>Legacy / Status Review</x:v>
      </x:c>
      <x:c r="F20" s="180" t="str">
        <x:v>Legacy proprietary offering</x:v>
      </x:c>
      <x:c r="G20" s="180" t="str">
        <x:v>ConfiDose Disposable Auto-Injector System</x:v>
      </x:c>
      <x:c r="H20" s="180" t="str">
        <x:v>Family</x:v>
      </x:c>
      <x:c r="I20" s="205" t="str"/>
      <x:c r="J20" s="180" t="str"/>
      <x:c r="K20" s="180" t="str"/>
      <x:c r="L20" s="180" t="str"/>
      <x:c r="M20" s="180" t="str"/>
      <x:c r="N20" s="180" t="str"/>
      <x:c r="O20" s="180" t="str"/>
      <x:c r="P20" s="180" t="str"/>
      <x:c r="Q20" s="180" t="str"/>
      <x:c r="R20" s="180" t="str">
        <x:v>Global / availability varies</x:v>
      </x:c>
      <x:c r="S20" s="180" t="str">
        <x:v>Do not treat as current until confirmed</x:v>
      </x:c>
      <x:c r="T20" s="180" t="str">
        <x:v>Needs current-status review</x:v>
      </x:c>
      <x:c r="U20" s="180" t="str">
        <x:v>Medium</x:v>
      </x:c>
      <x:c r="V20" s="180" t="str">
        <x:v>Historical source only</x:v>
      </x:c>
      <x:c r="W20" s="180" t="str">
        <x:v>Historical West filing / current cross-check</x:v>
      </x:c>
      <x:c r="X20" s="180" t="str">
        <x:v>https://www.sec.gov/Archives/edgar/data/105770/000010577026000010/wst-20251231.htm</x:v>
      </x:c>
      <x:c r="Y20" s="199" t="n">
        <x:v>46224.942662037036</x:v>
      </x:c>
      <x:c r="Z20" s="199" t="n">
        <x:v>46224.942662037036</x:v>
      </x:c>
      <x:c r="AA20" s="180" t="n">
        <x:v>0</x:v>
      </x:c>
      <x:c r="AB20" s="180" t="n">
        <x:v>1</x:v>
      </x:c>
      <x:c r="AC20" s="180" t="str">
        <x:v>Historical West product; current active availability was not verified in the 2026 public hierarchy. Public-source seed researched through 2026-07-21.</x:v>
      </x:c>
      <x:c r="AD20" s="186" t="str">
        <x:f>IF(OR(T20&lt;&gt;"Active",U20="Low",ISNUMBER(SEARCH("not publicly",V20)),ISNUMBER(SEARCH("review",T20))),"REVIEW","OK")</x:f>
        <x:v>REVIEW</x:v>
      </x:c>
    </x:row>
    <x:row r="21">
      <x:c r="A21" s="185" t="str">
        <x:v>fp:0f61c25c7d5fa92ec51b</x:v>
      </x:c>
      <x:c r="B21" s="180" t="str">
        <x:v>West Pharmaceutical Services, Inc.</x:v>
      </x:c>
      <x:c r="C21" s="180" t="str">
        <x:v>Parent / consolidated</x:v>
      </x:c>
      <x:c r="D21" s="180" t="str">
        <x:v>NovaGuard</x:v>
      </x:c>
      <x:c r="E21" s="180" t="str">
        <x:v>Legacy / Status Review</x:v>
      </x:c>
      <x:c r="F21" s="180" t="str">
        <x:v>Legacy proprietary offering</x:v>
      </x:c>
      <x:c r="G21" s="180" t="str">
        <x:v>NovaGuard Passive Safety Needle System</x:v>
      </x:c>
      <x:c r="H21" s="180" t="str">
        <x:v>Family</x:v>
      </x:c>
      <x:c r="I21" s="205" t="str"/>
      <x:c r="J21" s="180" t="str"/>
      <x:c r="K21" s="180" t="str"/>
      <x:c r="L21" s="180" t="str"/>
      <x:c r="M21" s="180" t="str"/>
      <x:c r="N21" s="180" t="str"/>
      <x:c r="O21" s="180" t="str"/>
      <x:c r="P21" s="180" t="str"/>
      <x:c r="Q21" s="180" t="str"/>
      <x:c r="R21" s="180" t="str">
        <x:v>Global / availability varies</x:v>
      </x:c>
      <x:c r="S21" s="180" t="str">
        <x:v>Do not treat as current until confirmed</x:v>
      </x:c>
      <x:c r="T21" s="180" t="str">
        <x:v>Needs current-status review</x:v>
      </x:c>
      <x:c r="U21" s="180" t="str">
        <x:v>Medium</x:v>
      </x:c>
      <x:c r="V21" s="180" t="str">
        <x:v>Historical source only</x:v>
      </x:c>
      <x:c r="W21" s="180" t="str">
        <x:v>Historical West filing / current cross-check</x:v>
      </x:c>
      <x:c r="X21" s="180" t="str">
        <x:v>https://www.sec.gov/Archives/edgar/data/105770/000010577026000010/wst-20251231.htm</x:v>
      </x:c>
      <x:c r="Y21" s="199" t="n">
        <x:v>46224.942662037036</x:v>
      </x:c>
      <x:c r="Z21" s="199" t="n">
        <x:v>46224.942662037036</x:v>
      </x:c>
      <x:c r="AA21" s="180" t="n">
        <x:v>0</x:v>
      </x:c>
      <x:c r="AB21" s="180" t="n">
        <x:v>1</x:v>
      </x:c>
      <x:c r="AC21" s="180" t="str">
        <x:v>Historical naming; use NovaGuard SA Pro as current verified facility product unless West confirms otherwise. Public-source seed researched through 2026-07-21.</x:v>
      </x:c>
      <x:c r="AD21" s="186" t="str">
        <x:f>IF(OR(T21&lt;&gt;"Active",U21="Low",ISNUMBER(SEARCH("not publicly",V21)),ISNUMBER(SEARCH("review",T21))),"REVIEW","OK")</x:f>
        <x:v>REVIEW</x:v>
      </x:c>
    </x:row>
    <x:row r="22">
      <x:c r="A22" s="185" t="str">
        <x:v>fp:506929386b5e32975070</x:v>
      </x:c>
      <x:c r="B22" s="180" t="str">
        <x:v>West Pharmaceutical Services, Inc.</x:v>
      </x:c>
      <x:c r="C22" s="180" t="str">
        <x:v>Parent / consolidated</x:v>
      </x:c>
      <x:c r="D22" s="180" t="str">
        <x:v>VeriSure</x:v>
      </x:c>
      <x:c r="E22" s="180" t="str">
        <x:v>Legacy / Status Review</x:v>
      </x:c>
      <x:c r="F22" s="180" t="str">
        <x:v>Legacy proprietary offering</x:v>
      </x:c>
      <x:c r="G22" s="180" t="str">
        <x:v>VeriSure Components</x:v>
      </x:c>
      <x:c r="H22" s="180" t="str">
        <x:v>Family</x:v>
      </x:c>
      <x:c r="I22" s="205" t="str"/>
      <x:c r="J22" s="180" t="str"/>
      <x:c r="K22" s="180" t="str"/>
      <x:c r="L22" s="180" t="str"/>
      <x:c r="M22" s="180" t="str"/>
      <x:c r="N22" s="180" t="str"/>
      <x:c r="O22" s="180" t="str"/>
      <x:c r="P22" s="180" t="str"/>
      <x:c r="Q22" s="180" t="str"/>
      <x:c r="R22" s="180" t="str">
        <x:v>Global / availability varies</x:v>
      </x:c>
      <x:c r="S22" s="180" t="str">
        <x:v>Do not treat as current until confirmed</x:v>
      </x:c>
      <x:c r="T22" s="180" t="str">
        <x:v>Needs current-status review</x:v>
      </x:c>
      <x:c r="U22" s="180" t="str">
        <x:v>Medium</x:v>
      </x:c>
      <x:c r="V22" s="180" t="str">
        <x:v>Historical source only</x:v>
      </x:c>
      <x:c r="W22" s="180" t="str">
        <x:v>Historical West filing / current cross-check</x:v>
      </x:c>
      <x:c r="X22" s="180" t="str">
        <x:v>https://www.sec.gov/Archives/edgar/data/105770/000010577026000010/wst-20251231.htm</x:v>
      </x:c>
      <x:c r="Y22" s="199" t="n">
        <x:v>46224.942662037036</x:v>
      </x:c>
      <x:c r="Z22" s="199" t="n">
        <x:v>46224.942662037036</x:v>
      </x:c>
      <x:c r="AA22" s="180" t="n">
        <x:v>0</x:v>
      </x:c>
      <x:c r="AB22" s="180" t="n">
        <x:v>1</x:v>
      </x:c>
      <x:c r="AC22" s="180" t="str">
        <x:v>Historical enhanced component/testing offering; current active availability was not verified in the 2026 public hierarchy. Public-source seed researched through 2026-07-21.</x:v>
      </x:c>
      <x:c r="AD22" s="186" t="str">
        <x:f>IF(OR(T22&lt;&gt;"Active",U22="Low",ISNUMBER(SEARCH("not publicly",V22)),ISNUMBER(SEARCH("review",T22))),"REVIEW","OK")</x:f>
        <x:v>REVIEW</x:v>
      </x:c>
    </x:row>
    <x:row r="23">
      <x:c r="A23" s="185" t="str">
        <x:v>fp:9f993e341364d35edacc</x:v>
      </x:c>
      <x:c r="B23" s="180" t="str">
        <x:v>Aluplast, S.A. de C.V.</x:v>
      </x:c>
      <x:c r="C23" s="180" t="str">
        <x:v>49%-owned affiliate through West Mexico</x:v>
      </x:c>
      <x:c r="D23" s="180" t="str"/>
      <x:c r="E23" s="180" t="str">
        <x:v>Mexico Affiliate Products</x:v>
      </x:c>
      <x:c r="F23" s="180" t="str">
        <x:v>Aluminum seals</x:v>
      </x:c>
      <x:c r="G23" s="180" t="str">
        <x:v>Aluminum Pharmaceutical Seals</x:v>
      </x:c>
      <x:c r="H23" s="180" t="str">
        <x:v>Family</x:v>
      </x:c>
      <x:c r="I23" s="205" t="str"/>
      <x:c r="J23" s="180" t="str"/>
      <x:c r="K23" s="180" t="str"/>
      <x:c r="L23" s="180" t="str"/>
      <x:c r="M23" s="180" t="str"/>
      <x:c r="N23" s="180" t="str"/>
      <x:c r="O23" s="180" t="str"/>
      <x:c r="P23" s="180" t="str"/>
      <x:c r="Q23" s="180" t="str"/>
      <x:c r="R23" s="180" t="str">
        <x:v>Mexico; Central/South America and Caribbean exports</x:v>
      </x:c>
      <x:c r="S23" s="180" t="str">
        <x:v>Contact West / account dependent</x:v>
      </x:c>
      <x:c r="T23" s="180" t="str">
        <x:v>Active</x:v>
      </x:c>
      <x:c r="U23" s="180" t="str">
        <x:v>High</x:v>
      </x:c>
      <x:c r="V23" s="180" t="str">
        <x:v>Affiliate family verified; item catalog not public</x:v>
      </x:c>
      <x:c r="W23" s="180" t="str">
        <x:v>West official website</x:v>
      </x:c>
      <x:c r="X23" s="180" t="str">
        <x:v>https://www.westpharma.com/partners</x:v>
      </x:c>
      <x:c r="Y23" s="199" t="n">
        <x:v>46224.942662037036</x:v>
      </x:c>
      <x:c r="Z23" s="199" t="n">
        <x:v>46224.942662037036</x:v>
      </x:c>
      <x:c r="AA23" s="180" t="n">
        <x:v>0</x:v>
      </x:c>
      <x:c r="AB23" s="180" t="n">
        <x:v>1</x:v>
      </x:c>
      <x:c r="AC23" s="180" t="str">
        <x:v>Exact material numbers and configurations require affiliate or West sales export. Public-source seed researched through 2026-07-21.</x:v>
      </x:c>
      <x:c r="AD23" s="186" t="str">
        <x:f>IF(OR(T23&lt;&gt;"Active",U23="Low",ISNUMBER(SEARCH("not publicly",V23)),ISNUMBER(SEARCH("review",T23))),"REVIEW","OK")</x:f>
        <x:v>OK</x:v>
      </x:c>
    </x:row>
    <x:row r="24">
      <x:c r="A24" s="185" t="str">
        <x:v>fp:9a8658190ce7e9a645f5</x:v>
      </x:c>
      <x:c r="B24" s="180" t="str">
        <x:v>Pharma Tap, S.A. de C.V.</x:v>
      </x:c>
      <x:c r="C24" s="180" t="str">
        <x:v>49%-owned affiliate through West Mexico</x:v>
      </x:c>
      <x:c r="D24" s="180" t="str"/>
      <x:c r="E24" s="180" t="str">
        <x:v>Mexico Affiliate Products</x:v>
      </x:c>
      <x:c r="F24" s="180" t="str">
        <x:v>IV components</x:v>
      </x:c>
      <x:c r="G24" s="180" t="str">
        <x:v>Sleeve Stoppers</x:v>
      </x:c>
      <x:c r="H24" s="180" t="str">
        <x:v>Family</x:v>
      </x:c>
      <x:c r="I24" s="205" t="str"/>
      <x:c r="J24" s="180" t="str"/>
      <x:c r="K24" s="180" t="str"/>
      <x:c r="L24" s="180" t="str"/>
      <x:c r="M24" s="180" t="str"/>
      <x:c r="N24" s="180" t="str"/>
      <x:c r="O24" s="180" t="str"/>
      <x:c r="P24" s="180" t="str"/>
      <x:c r="Q24" s="180" t="str"/>
      <x:c r="R24" s="180" t="str">
        <x:v>Mexico; Central/South America and Caribbean exports</x:v>
      </x:c>
      <x:c r="S24" s="180" t="str">
        <x:v>Contact West / account dependent</x:v>
      </x:c>
      <x:c r="T24" s="180" t="str">
        <x:v>Active</x:v>
      </x:c>
      <x:c r="U24" s="180" t="str">
        <x:v>High</x:v>
      </x:c>
      <x:c r="V24" s="180" t="str">
        <x:v>Affiliate family verified; item catalog not public</x:v>
      </x:c>
      <x:c r="W24" s="180" t="str">
        <x:v>West official website</x:v>
      </x:c>
      <x:c r="X24" s="180" t="str">
        <x:v>https://www.westpharma.com/partners</x:v>
      </x:c>
      <x:c r="Y24" s="199" t="n">
        <x:v>46224.942662037036</x:v>
      </x:c>
      <x:c r="Z24" s="199" t="n">
        <x:v>46224.942662037036</x:v>
      </x:c>
      <x:c r="AA24" s="180" t="n">
        <x:v>0</x:v>
      </x:c>
      <x:c r="AB24" s="180" t="n">
        <x:v>1</x:v>
      </x:c>
      <x:c r="AC24" s="180" t="str">
        <x:v>Exact material numbers and configurations require affiliate or West sales export. Public-source seed researched through 2026-07-21.</x:v>
      </x:c>
      <x:c r="AD24" s="186" t="str">
        <x:f>IF(OR(T24&lt;&gt;"Active",U24="Low",ISNUMBER(SEARCH("not publicly",V24)),ISNUMBER(SEARCH("review",T24))),"REVIEW","OK")</x:f>
        <x:v>OK</x:v>
      </x:c>
    </x:row>
    <x:row r="25">
      <x:c r="A25" s="185" t="str">
        <x:v>fp:2a8642a37a0763e0a29f</x:v>
      </x:c>
      <x:c r="B25" s="180" t="str">
        <x:v>Aluplast, S.A. de C.V.</x:v>
      </x:c>
      <x:c r="C25" s="180" t="str">
        <x:v>49%-owned affiliate through West Mexico</x:v>
      </x:c>
      <x:c r="D25" s="180" t="str"/>
      <x:c r="E25" s="180" t="str">
        <x:v>Mexico Affiliate Products</x:v>
      </x:c>
      <x:c r="F25" s="180" t="str">
        <x:v>Plastic closures</x:v>
      </x:c>
      <x:c r="G25" s="180" t="str">
        <x:v>Plastic Bottle Caps and Closures</x:v>
      </x:c>
      <x:c r="H25" s="180" t="str">
        <x:v>Family</x:v>
      </x:c>
      <x:c r="I25" s="205" t="str"/>
      <x:c r="J25" s="180" t="str"/>
      <x:c r="K25" s="180" t="str"/>
      <x:c r="L25" s="180" t="str"/>
      <x:c r="M25" s="180" t="str"/>
      <x:c r="N25" s="180" t="str"/>
      <x:c r="O25" s="180" t="str"/>
      <x:c r="P25" s="180" t="str"/>
      <x:c r="Q25" s="180" t="str"/>
      <x:c r="R25" s="180" t="str">
        <x:v>Mexico; Central/South America and Caribbean exports</x:v>
      </x:c>
      <x:c r="S25" s="180" t="str">
        <x:v>Contact West / account dependent</x:v>
      </x:c>
      <x:c r="T25" s="180" t="str">
        <x:v>Active</x:v>
      </x:c>
      <x:c r="U25" s="180" t="str">
        <x:v>High</x:v>
      </x:c>
      <x:c r="V25" s="180" t="str">
        <x:v>Affiliate family verified; item catalog not public</x:v>
      </x:c>
      <x:c r="W25" s="180" t="str">
        <x:v>West official website</x:v>
      </x:c>
      <x:c r="X25" s="180" t="str">
        <x:v>https://www.westpharma.com/partners</x:v>
      </x:c>
      <x:c r="Y25" s="199" t="n">
        <x:v>46224.942662037036</x:v>
      </x:c>
      <x:c r="Z25" s="199" t="n">
        <x:v>46224.942662037036</x:v>
      </x:c>
      <x:c r="AA25" s="180" t="n">
        <x:v>0</x:v>
      </x:c>
      <x:c r="AB25" s="180" t="n">
        <x:v>1</x:v>
      </x:c>
      <x:c r="AC25" s="180" t="str">
        <x:v>Exact material numbers and configurations require affiliate or West sales export. Public-source seed researched through 2026-07-21.</x:v>
      </x:c>
      <x:c r="AD25" s="186" t="str">
        <x:f>IF(OR(T25&lt;&gt;"Active",U25="Low",ISNUMBER(SEARCH("not publicly",V25)),ISNUMBER(SEARCH("review",T25))),"REVIEW","OK")</x:f>
        <x:v>OK</x:v>
      </x:c>
    </x:row>
    <x:row r="26">
      <x:c r="A26" s="185" t="str">
        <x:v>fp:87e4fb785d4e3866a944</x:v>
      </x:c>
      <x:c r="B26" s="180" t="str">
        <x:v>Aluplast, S.A. de C.V.</x:v>
      </x:c>
      <x:c r="C26" s="180" t="str">
        <x:v>49%-owned affiliate through West Mexico</x:v>
      </x:c>
      <x:c r="D26" s="180" t="str"/>
      <x:c r="E26" s="180" t="str">
        <x:v>Mexico Affiliate Products</x:v>
      </x:c>
      <x:c r="F26" s="180" t="str">
        <x:v>Plastic packaging</x:v>
      </x:c>
      <x:c r="G26" s="180" t="str">
        <x:v>Plastic Containers</x:v>
      </x:c>
      <x:c r="H26" s="180" t="str">
        <x:v>Family</x:v>
      </x:c>
      <x:c r="I26" s="205" t="str"/>
      <x:c r="J26" s="180" t="str"/>
      <x:c r="K26" s="180" t="str"/>
      <x:c r="L26" s="180" t="str"/>
      <x:c r="M26" s="180" t="str"/>
      <x:c r="N26" s="180" t="str"/>
      <x:c r="O26" s="180" t="str"/>
      <x:c r="P26" s="180" t="str"/>
      <x:c r="Q26" s="180" t="str"/>
      <x:c r="R26" s="180" t="str">
        <x:v>Mexico; Central/South America and Caribbean exports</x:v>
      </x:c>
      <x:c r="S26" s="180" t="str">
        <x:v>Contact West / account dependent</x:v>
      </x:c>
      <x:c r="T26" s="180" t="str">
        <x:v>Active</x:v>
      </x:c>
      <x:c r="U26" s="180" t="str">
        <x:v>High</x:v>
      </x:c>
      <x:c r="V26" s="180" t="str">
        <x:v>Affiliate family verified; item catalog not public</x:v>
      </x:c>
      <x:c r="W26" s="180" t="str">
        <x:v>West official website</x:v>
      </x:c>
      <x:c r="X26" s="180" t="str">
        <x:v>https://www.westpharma.com/partners</x:v>
      </x:c>
      <x:c r="Y26" s="199" t="n">
        <x:v>46224.942662037036</x:v>
      </x:c>
      <x:c r="Z26" s="199" t="n">
        <x:v>46224.942662037036</x:v>
      </x:c>
      <x:c r="AA26" s="180" t="n">
        <x:v>0</x:v>
      </x:c>
      <x:c r="AB26" s="180" t="n">
        <x:v>1</x:v>
      </x:c>
      <x:c r="AC26" s="180" t="str">
        <x:v>Exact material numbers and configurations require affiliate or West sales export. Public-source seed researched through 2026-07-21.</x:v>
      </x:c>
      <x:c r="AD26" s="186" t="str">
        <x:f>IF(OR(T26&lt;&gt;"Active",U26="Low",ISNUMBER(SEARCH("not publicly",V26)),ISNUMBER(SEARCH("review",T26))),"REVIEW","OK")</x:f>
        <x:v>OK</x:v>
      </x:c>
    </x:row>
    <x:row r="27">
      <x:c r="A27" s="185" t="str">
        <x:v>fp:af0d480e196b1213d12b</x:v>
      </x:c>
      <x:c r="B27" s="180" t="str">
        <x:v>Pharma Tap, S.A. de C.V.</x:v>
      </x:c>
      <x:c r="C27" s="180" t="str">
        <x:v>49%-owned affiliate through West Mexico</x:v>
      </x:c>
      <x:c r="D27" s="180" t="str"/>
      <x:c r="E27" s="180" t="str">
        <x:v>Mexico Affiliate Products</x:v>
      </x:c>
      <x:c r="F27" s="180" t="str">
        <x:v>Rubber closures</x:v>
      </x:c>
      <x:c r="G27" s="180" t="str">
        <x:v>Lyophilization Stoppers</x:v>
      </x:c>
      <x:c r="H27" s="180" t="str">
        <x:v>Family</x:v>
      </x:c>
      <x:c r="I27" s="205" t="str"/>
      <x:c r="J27" s="180" t="str"/>
      <x:c r="K27" s="180" t="str"/>
      <x:c r="L27" s="180" t="str"/>
      <x:c r="M27" s="180" t="str"/>
      <x:c r="N27" s="180" t="str"/>
      <x:c r="O27" s="180" t="str"/>
      <x:c r="P27" s="180" t="str"/>
      <x:c r="Q27" s="180" t="str"/>
      <x:c r="R27" s="180" t="str">
        <x:v>Mexico; Central/South America and Caribbean exports</x:v>
      </x:c>
      <x:c r="S27" s="180" t="str">
        <x:v>Contact West / account dependent</x:v>
      </x:c>
      <x:c r="T27" s="180" t="str">
        <x:v>Active</x:v>
      </x:c>
      <x:c r="U27" s="180" t="str">
        <x:v>High</x:v>
      </x:c>
      <x:c r="V27" s="180" t="str">
        <x:v>Affiliate family verified; item catalog not public</x:v>
      </x:c>
      <x:c r="W27" s="180" t="str">
        <x:v>West official website</x:v>
      </x:c>
      <x:c r="X27" s="180" t="str">
        <x:v>https://www.westpharma.com/partners</x:v>
      </x:c>
      <x:c r="Y27" s="199" t="n">
        <x:v>46224.942662037036</x:v>
      </x:c>
      <x:c r="Z27" s="199" t="n">
        <x:v>46224.942662037036</x:v>
      </x:c>
      <x:c r="AA27" s="180" t="n">
        <x:v>0</x:v>
      </x:c>
      <x:c r="AB27" s="180" t="n">
        <x:v>1</x:v>
      </x:c>
      <x:c r="AC27" s="180" t="str">
        <x:v>Exact material numbers and configurations require affiliate or West sales export. Public-source seed researched through 2026-07-21.</x:v>
      </x:c>
      <x:c r="AD27" s="186" t="str">
        <x:f>IF(OR(T27&lt;&gt;"Active",U27="Low",ISNUMBER(SEARCH("not publicly",V27)),ISNUMBER(SEARCH("review",T27))),"REVIEW","OK")</x:f>
        <x:v>OK</x:v>
      </x:c>
    </x:row>
    <x:row r="28">
      <x:c r="A28" s="185" t="str">
        <x:v>fp:fe0f7005df89324f3360</x:v>
      </x:c>
      <x:c r="B28" s="180" t="str">
        <x:v>Pharma Tap, S.A. de C.V.</x:v>
      </x:c>
      <x:c r="C28" s="180" t="str">
        <x:v>49%-owned affiliate through West Mexico</x:v>
      </x:c>
      <x:c r="D28" s="180" t="str"/>
      <x:c r="E28" s="180" t="str">
        <x:v>Mexico Affiliate Products</x:v>
      </x:c>
      <x:c r="F28" s="180" t="str">
        <x:v>Rubber closures</x:v>
      </x:c>
      <x:c r="G28" s="180" t="str">
        <x:v>Serum Stoppers</x:v>
      </x:c>
      <x:c r="H28" s="180" t="str">
        <x:v>Family</x:v>
      </x:c>
      <x:c r="I28" s="205" t="str"/>
      <x:c r="J28" s="180" t="str"/>
      <x:c r="K28" s="180" t="str"/>
      <x:c r="L28" s="180" t="str"/>
      <x:c r="M28" s="180" t="str"/>
      <x:c r="N28" s="180" t="str"/>
      <x:c r="O28" s="180" t="str"/>
      <x:c r="P28" s="180" t="str"/>
      <x:c r="Q28" s="180" t="str"/>
      <x:c r="R28" s="180" t="str">
        <x:v>Mexico; Central/South America and Caribbean exports</x:v>
      </x:c>
      <x:c r="S28" s="180" t="str">
        <x:v>Contact West / account dependent</x:v>
      </x:c>
      <x:c r="T28" s="180" t="str">
        <x:v>Active</x:v>
      </x:c>
      <x:c r="U28" s="180" t="str">
        <x:v>High</x:v>
      </x:c>
      <x:c r="V28" s="180" t="str">
        <x:v>Affiliate family verified; item catalog not public</x:v>
      </x:c>
      <x:c r="W28" s="180" t="str">
        <x:v>West official website</x:v>
      </x:c>
      <x:c r="X28" s="180" t="str">
        <x:v>https://www.westpharma.com/partners</x:v>
      </x:c>
      <x:c r="Y28" s="199" t="n">
        <x:v>46224.942662037036</x:v>
      </x:c>
      <x:c r="Z28" s="199" t="n">
        <x:v>46224.942662037036</x:v>
      </x:c>
      <x:c r="AA28" s="180" t="n">
        <x:v>0</x:v>
      </x:c>
      <x:c r="AB28" s="180" t="n">
        <x:v>1</x:v>
      </x:c>
      <x:c r="AC28" s="180" t="str">
        <x:v>Exact material numbers and configurations require affiliate or West sales export. Public-source seed researched through 2026-07-21.</x:v>
      </x:c>
      <x:c r="AD28" s="186" t="str">
        <x:f>IF(OR(T28&lt;&gt;"Active",U28="Low",ISNUMBER(SEARCH("not publicly",V28)),ISNUMBER(SEARCH("review",T28))),"REVIEW","OK")</x:f>
        <x:v>OK</x:v>
      </x:c>
    </x:row>
    <x:row r="29">
      <x:c r="A29" s="185" t="str">
        <x:v>fp:38e8822a711ef402e5e4</x:v>
      </x:c>
      <x:c r="B29" s="180" t="str">
        <x:v>Pharma Rubber, S.A. de C.V.</x:v>
      </x:c>
      <x:c r="C29" s="180" t="str">
        <x:v>49%-owned affiliate through West Mexico</x:v>
      </x:c>
      <x:c r="D29" s="180" t="str"/>
      <x:c r="E29" s="180" t="str">
        <x:v>Mexico Affiliate Products</x:v>
      </x:c>
      <x:c r="F29" s="180" t="str">
        <x:v>Rubber components</x:v>
      </x:c>
      <x:c r="G29" s="180" t="str">
        <x:v>Rubber Sleeves</x:v>
      </x:c>
      <x:c r="H29" s="180" t="str">
        <x:v>Family</x:v>
      </x:c>
      <x:c r="I29" s="205" t="str"/>
      <x:c r="J29" s="180" t="str"/>
      <x:c r="K29" s="180" t="str"/>
      <x:c r="L29" s="180" t="str"/>
      <x:c r="M29" s="180" t="str"/>
      <x:c r="N29" s="180" t="str"/>
      <x:c r="O29" s="180" t="str"/>
      <x:c r="P29" s="180" t="str"/>
      <x:c r="Q29" s="180" t="str"/>
      <x:c r="R29" s="180" t="str">
        <x:v>Mexico; Central/South America and Caribbean exports</x:v>
      </x:c>
      <x:c r="S29" s="180" t="str">
        <x:v>Contact West / account dependent</x:v>
      </x:c>
      <x:c r="T29" s="180" t="str">
        <x:v>Active</x:v>
      </x:c>
      <x:c r="U29" s="180" t="str">
        <x:v>High</x:v>
      </x:c>
      <x:c r="V29" s="180" t="str">
        <x:v>Affiliate family verified; item catalog not public</x:v>
      </x:c>
      <x:c r="W29" s="180" t="str">
        <x:v>West official website</x:v>
      </x:c>
      <x:c r="X29" s="180" t="str">
        <x:v>https://www.westpharma.com/global-locations</x:v>
      </x:c>
      <x:c r="Y29" s="199" t="n">
        <x:v>46224.942662037036</x:v>
      </x:c>
      <x:c r="Z29" s="199" t="n">
        <x:v>46224.942662037036</x:v>
      </x:c>
      <x:c r="AA29" s="180" t="n">
        <x:v>0</x:v>
      </x:c>
      <x:c r="AB29" s="180" t="n">
        <x:v>1</x:v>
      </x:c>
      <x:c r="AC29" s="180" t="str">
        <x:v>Exact material numbers and configurations require affiliate or West sales export. Public-source seed researched through 2026-07-21.</x:v>
      </x:c>
      <x:c r="AD29" s="186" t="str">
        <x:f>IF(OR(T29&lt;&gt;"Active",U29="Low",ISNUMBER(SEARCH("not publicly",V29)),ISNUMBER(SEARCH("review",T29))),"REVIEW","OK")</x:f>
        <x:v>OK</x:v>
      </x:c>
    </x:row>
    <x:row r="30">
      <x:c r="A30" s="185" t="str">
        <x:v>fp:a9098a87f363de2ca166</x:v>
      </x:c>
      <x:c r="B30" s="180" t="str">
        <x:v>Pharma Tap, S.A. de C.V.</x:v>
      </x:c>
      <x:c r="C30" s="180" t="str">
        <x:v>49%-owned affiliate through West Mexico</x:v>
      </x:c>
      <x:c r="D30" s="180" t="str"/>
      <x:c r="E30" s="180" t="str">
        <x:v>Mexico Affiliate Products</x:v>
      </x:c>
      <x:c r="F30" s="180" t="str">
        <x:v>Syringe components</x:v>
      </x:c>
      <x:c r="G30" s="180" t="str">
        <x:v>Syringe Plungers</x:v>
      </x:c>
      <x:c r="H30" s="180" t="str">
        <x:v>Family</x:v>
      </x:c>
      <x:c r="I30" s="205" t="str"/>
      <x:c r="J30" s="180" t="str"/>
      <x:c r="K30" s="180" t="str"/>
      <x:c r="L30" s="180" t="str"/>
      <x:c r="M30" s="180" t="str"/>
      <x:c r="N30" s="180" t="str"/>
      <x:c r="O30" s="180" t="str"/>
      <x:c r="P30" s="180" t="str"/>
      <x:c r="Q30" s="180" t="str"/>
      <x:c r="R30" s="180" t="str">
        <x:v>Mexico; Central/South America and Caribbean exports</x:v>
      </x:c>
      <x:c r="S30" s="180" t="str">
        <x:v>Contact West / account dependent</x:v>
      </x:c>
      <x:c r="T30" s="180" t="str">
        <x:v>Active</x:v>
      </x:c>
      <x:c r="U30" s="180" t="str">
        <x:v>High</x:v>
      </x:c>
      <x:c r="V30" s="180" t="str">
        <x:v>Affiliate family verified; item catalog not public</x:v>
      </x:c>
      <x:c r="W30" s="180" t="str">
        <x:v>West official website</x:v>
      </x:c>
      <x:c r="X30" s="180" t="str">
        <x:v>https://www.westpharma.com/partners</x:v>
      </x:c>
      <x:c r="Y30" s="199" t="n">
        <x:v>46224.942662037036</x:v>
      </x:c>
      <x:c r="Z30" s="199" t="n">
        <x:v>46224.942662037036</x:v>
      </x:c>
      <x:c r="AA30" s="180" t="n">
        <x:v>0</x:v>
      </x:c>
      <x:c r="AB30" s="180" t="n">
        <x:v>1</x:v>
      </x:c>
      <x:c r="AC30" s="180" t="str">
        <x:v>Exact material numbers and configurations require affiliate or West sales export. Public-source seed researched through 2026-07-21.</x:v>
      </x:c>
      <x:c r="AD30" s="186" t="str">
        <x:f>IF(OR(T30&lt;&gt;"Active",U30="Low",ISNUMBER(SEARCH("not publicly",V30)),ISNUMBER(SEARCH("review",T30))),"REVIEW","OK")</x:f>
        <x:v>OK</x:v>
      </x:c>
    </x:row>
    <x:row r="31">
      <x:c r="A31" s="185" t="str">
        <x:v>url:d3438a99c95e16cd219e</x:v>
      </x:c>
      <x:c r="B31" s="180" t="str">
        <x:v>Daikyo Seiko, Ltd. / West manufactured 1mL IN Long</x:v>
      </x:c>
      <x:c r="C31" s="180" t="str">
        <x:v>Affiliate technology; 1mL IN Long manufactured by West</x:v>
      </x:c>
      <x:c r="D31" s="180" t="str">
        <x:v>Daikyo Crystal Zenith</x:v>
      </x:c>
      <x:c r="E31" s="180" t="str">
        <x:v>Prefillable Syringes</x:v>
      </x:c>
      <x:c r="F31" s="180" t="str">
        <x:v>Insert needle syringe</x:v>
      </x:c>
      <x:c r="G31" s="180" t="str">
        <x:v>Daikyo Crystal Zenith 1mL Long Insert Needle Syringe</x:v>
      </x:c>
      <x:c r="H31" s="180" t="str">
        <x:v>Family</x:v>
      </x:c>
      <x:c r="I31" s="205" t="str"/>
      <x:c r="J31" s="180" t="str">
        <x:v>1mL long</x:v>
      </x:c>
      <x:c r="K31" s="180" t="str"/>
      <x:c r="L31" s="180" t="str"/>
      <x:c r="M31" s="180" t="str"/>
      <x:c r="N31" s="180" t="str"/>
      <x:c r="O31" s="180" t="str"/>
      <x:c r="P31" s="180" t="str">
        <x:v>Ready-to-use; barrel assembly / nested options</x:v>
      </x:c>
      <x:c r="Q31" s="180" t="str"/>
      <x:c r="R31" s="180" t="str">
        <x:v>Global / availability varies</x:v>
      </x:c>
      <x:c r="S31" s="180" t="str">
        <x:v>Contact West / account dependent</x:v>
      </x:c>
      <x:c r="T31" s="180" t="str">
        <x:v>Active</x:v>
      </x:c>
      <x:c r="U31" s="180" t="str">
        <x:v>High</x:v>
      </x:c>
      <x:c r="V31" s="180" t="str">
        <x:v>Public family verified</x:v>
      </x:c>
      <x:c r="W31" s="180" t="str">
        <x:v>West official website</x:v>
      </x:c>
      <x:c r="X31" s="180" t="str">
        <x:v>https://www.westpharma.com/products/prefillable-syringes/daikyo-prefillable-syringes/insert-needle-syringe-components</x:v>
      </x:c>
      <x:c r="Y31" s="199" t="n">
        <x:v>46224.942662037036</x:v>
      </x:c>
      <x:c r="Z31" s="199" t="n">
        <x:v>46224.942662037036</x:v>
      </x:c>
      <x:c r="AA31" s="180" t="n">
        <x:v>0</x:v>
      </x:c>
      <x:c r="AB31" s="180" t="n">
        <x:v>1</x:v>
      </x:c>
      <x:c r="AC31" s="180" t="str">
        <x:v>Public-source seed researched through 2026-07-21.</x:v>
      </x:c>
      <x:c r="AD31" s="186" t="str">
        <x:f>IF(OR(T31&lt;&gt;"Active",U31="Low",ISNUMBER(SEARCH("not publicly",V31)),ISNUMBER(SEARCH("review",T31))),"REVIEW","OK")</x:f>
        <x:v>OK</x:v>
      </x:c>
    </x:row>
    <x:row r="32">
      <x:c r="A32" s="185" t="str">
        <x:v>url:dcc9c89a4892a644c2f0</x:v>
      </x:c>
      <x:c r="B32" s="180" t="str">
        <x:v>Daikyo Seiko, Ltd.</x:v>
      </x:c>
      <x:c r="C32" s="180" t="str">
        <x:v>49%-owned affiliate / West licensee and distributor relationship</x:v>
      </x:c>
      <x:c r="D32" s="180" t="str">
        <x:v>Daikyo Crystal Zenith</x:v>
      </x:c>
      <x:c r="E32" s="180" t="str">
        <x:v>Prefillable Syringes</x:v>
      </x:c>
      <x:c r="F32" s="180" t="str">
        <x:v>Insert needle syringe</x:v>
      </x:c>
      <x:c r="G32" s="180" t="str">
        <x:v>Daikyo Crystal Zenith 2.25mL Insert Needle Syringe</x:v>
      </x:c>
      <x:c r="H32" s="180" t="str">
        <x:v>Family</x:v>
      </x:c>
      <x:c r="I32" s="205" t="str"/>
      <x:c r="J32" s="180" t="str">
        <x:v>2.25mL</x:v>
      </x:c>
      <x:c r="K32" s="180" t="str"/>
      <x:c r="L32" s="180" t="str"/>
      <x:c r="M32" s="180" t="str"/>
      <x:c r="N32" s="180" t="str"/>
      <x:c r="O32" s="180" t="str"/>
      <x:c r="P32" s="180" t="str">
        <x:v>Ready-to-use; nested</x:v>
      </x:c>
      <x:c r="Q32" s="180" t="str"/>
      <x:c r="R32" s="180" t="str">
        <x:v>Global / availability varies</x:v>
      </x:c>
      <x:c r="S32" s="180" t="str">
        <x:v>Contact West / account dependent</x:v>
      </x:c>
      <x:c r="T32" s="180" t="str">
        <x:v>Active</x:v>
      </x:c>
      <x:c r="U32" s="180" t="str">
        <x:v>High</x:v>
      </x:c>
      <x:c r="V32" s="180" t="str">
        <x:v>Public family verified</x:v>
      </x:c>
      <x:c r="W32" s="180" t="str">
        <x:v>West official website</x:v>
      </x:c>
      <x:c r="X32" s="180" t="str">
        <x:v>https://www.westpharma.com/products/prefillable-syringes/daikyo-prefillable-syringes/insert-needle-syringe-components</x:v>
      </x:c>
      <x:c r="Y32" s="199" t="n">
        <x:v>46224.942662037036</x:v>
      </x:c>
      <x:c r="Z32" s="199" t="n">
        <x:v>46224.942662037036</x:v>
      </x:c>
      <x:c r="AA32" s="180" t="n">
        <x:v>0</x:v>
      </x:c>
      <x:c r="AB32" s="180" t="n">
        <x:v>1</x:v>
      </x:c>
      <x:c r="AC32" s="180" t="str">
        <x:v>Public-source seed researched through 2026-07-21.</x:v>
      </x:c>
      <x:c r="AD32" s="186" t="str">
        <x:f>IF(OR(T32&lt;&gt;"Active",U32="Low",ISNUMBER(SEARCH("not publicly",V32)),ISNUMBER(SEARCH("review",T32))),"REVIEW","OK")</x:f>
        <x:v>OK</x:v>
      </x:c>
    </x:row>
    <x:row r="33">
      <x:c r="A33" s="185" t="str">
        <x:v>url:6c673c53ddbcd1c5828c</x:v>
      </x:c>
      <x:c r="B33" s="180" t="str">
        <x:v>West Pharmaceutical Services, Inc.</x:v>
      </x:c>
      <x:c r="C33" s="180" t="str">
        <x:v>Parent / consolidated</x:v>
      </x:c>
      <x:c r="D33" s="180" t="str">
        <x:v>Synchrony</x:v>
      </x:c>
      <x:c r="E33" s="180" t="str">
        <x:v>Prefillable Syringes</x:v>
      </x:c>
      <x:c r="F33" s="180" t="str">
        <x:v>Integrated PFS system</x:v>
      </x:c>
      <x:c r="G33" s="180" t="str">
        <x:v>West Synchrony S1 Prefillable Syringe System</x:v>
      </x:c>
      <x:c r="H33" s="180" t="str">
        <x:v>Family</x:v>
      </x:c>
      <x:c r="I33" s="205" t="str"/>
      <x:c r="J33" s="180" t="str"/>
      <x:c r="K33" s="180" t="str"/>
      <x:c r="L33" s="180" t="str"/>
      <x:c r="M33" s="180" t="str"/>
      <x:c r="N33" s="180" t="str"/>
      <x:c r="O33" s="180" t="str"/>
      <x:c r="P33" s="180" t="str"/>
      <x:c r="Q33" s="180" t="str"/>
      <x:c r="R33" s="180" t="str">
        <x:v>Global / availability varies</x:v>
      </x:c>
      <x:c r="S33" s="180" t="str">
        <x:v>Contact West / account dependent</x:v>
      </x:c>
      <x:c r="T33" s="180" t="str">
        <x:v>Active</x:v>
      </x:c>
      <x:c r="U33" s="180" t="str">
        <x:v>High</x:v>
      </x:c>
      <x:c r="V33" s="180" t="str">
        <x:v>Public family verified</x:v>
      </x:c>
      <x:c r="W33" s="180" t="str">
        <x:v>West official website</x:v>
      </x:c>
      <x:c r="X33" s="180" t="str">
        <x:v>https://www.westpharma.com/products/prefillable-syringes/synchrony-s1-pfs-system</x:v>
      </x:c>
      <x:c r="Y33" s="199" t="n">
        <x:v>46224.942662037036</x:v>
      </x:c>
      <x:c r="Z33" s="199" t="n">
        <x:v>46224.942662037036</x:v>
      </x:c>
      <x:c r="AA33" s="180" t="n">
        <x:v>0</x:v>
      </x:c>
      <x:c r="AB33" s="180" t="n">
        <x:v>1</x:v>
      </x:c>
      <x:c r="AC33" s="180" t="str">
        <x:v>Public-source seed researched through 2026-07-21.</x:v>
      </x:c>
      <x:c r="AD33" s="186" t="str">
        <x:f>IF(OR(T33&lt;&gt;"Active",U33="Low",ISNUMBER(SEARCH("not publicly",V33)),ISNUMBER(SEARCH("review",T33))),"REVIEW","OK")</x:f>
        <x:v>OK</x:v>
      </x:c>
    </x:row>
    <x:row r="34">
      <x:c r="A34" s="185" t="str">
        <x:v>url:8499cf6fc9e389f752dd</x:v>
      </x:c>
      <x:c r="B34" s="180" t="str">
        <x:v>Daikyo Seiko, Ltd.</x:v>
      </x:c>
      <x:c r="C34" s="180" t="str">
        <x:v>49%-owned affiliate / West licensee and distributor relationship</x:v>
      </x:c>
      <x:c r="D34" s="180" t="str">
        <x:v>Daikyo Crystal Zenith</x:v>
      </x:c>
      <x:c r="E34" s="180" t="str">
        <x:v>Prefillable Syringes</x:v>
      </x:c>
      <x:c r="F34" s="180" t="str">
        <x:v>Luer lock syringe</x:v>
      </x:c>
      <x:c r="G34" s="180" t="str">
        <x:v>Daikyo Crystal Zenith Ophthalmic 0.5mL Luer Lock Syringe</x:v>
      </x:c>
      <x:c r="H34" s="180" t="str">
        <x:v>Family</x:v>
      </x:c>
      <x:c r="I34" s="205" t="str"/>
      <x:c r="J34" s="180" t="str">
        <x:v>0.5mL</x:v>
      </x:c>
      <x:c r="K34" s="180" t="str"/>
      <x:c r="L34" s="180" t="str"/>
      <x:c r="M34" s="180" t="str">
        <x:v>Daikyo RUV</x:v>
      </x:c>
      <x:c r="N34" s="180" t="str">
        <x:v>FluroTec tip cap and piston</x:v>
      </x:c>
      <x:c r="O34" s="180" t="str"/>
      <x:c r="P34" s="180" t="str">
        <x:v>Nest and tub; sterilizable bag accessories</x:v>
      </x:c>
      <x:c r="Q34" s="180" t="str"/>
      <x:c r="R34" s="180" t="str">
        <x:v>Global / availability varies</x:v>
      </x:c>
      <x:c r="S34" s="180" t="str">
        <x:v>Contact West / account dependent</x:v>
      </x:c>
      <x:c r="T34" s="180" t="str">
        <x:v>Active</x:v>
      </x:c>
      <x:c r="U34" s="180" t="str">
        <x:v>High</x:v>
      </x:c>
      <x:c r="V34" s="180" t="str">
        <x:v>Public family verified</x:v>
      </x:c>
      <x:c r="W34" s="180" t="str">
        <x:v>West official website</x:v>
      </x:c>
      <x:c r="X34" s="180" t="str">
        <x:v>https://www.westpharma.com/products/prefillable-syringes/daikyo-prefillable-syringes/luer-lock-syringes</x:v>
      </x:c>
      <x:c r="Y34" s="199" t="n">
        <x:v>46224.942662037036</x:v>
      </x:c>
      <x:c r="Z34" s="199" t="n">
        <x:v>46224.942662037036</x:v>
      </x:c>
      <x:c r="AA34" s="180" t="n">
        <x:v>0</x:v>
      </x:c>
      <x:c r="AB34" s="180" t="n">
        <x:v>1</x:v>
      </x:c>
      <x:c r="AC34" s="180" t="str">
        <x:v>Public-source seed researched through 2026-07-21.</x:v>
      </x:c>
      <x:c r="AD34" s="186" t="str">
        <x:f>IF(OR(T34&lt;&gt;"Active",U34="Low",ISNUMBER(SEARCH("not publicly",V34)),ISNUMBER(SEARCH("review",T34))),"REVIEW","OK")</x:f>
        <x:v>OK</x:v>
      </x:c>
    </x:row>
    <x:row r="35">
      <x:c r="A35" s="185" t="str">
        <x:v>url:5ea941279686ff7f9598</x:v>
      </x:c>
      <x:c r="B35" s="180" t="str">
        <x:v>Daikyo Seiko, Ltd.</x:v>
      </x:c>
      <x:c r="C35" s="180" t="str">
        <x:v>49%-owned affiliate / West licensee and distributor relationship</x:v>
      </x:c>
      <x:c r="D35" s="180" t="str">
        <x:v>Daikyo Crystal Zenith</x:v>
      </x:c>
      <x:c r="E35" s="180" t="str">
        <x:v>Prefillable Syringes</x:v>
      </x:c>
      <x:c r="F35" s="180" t="str">
        <x:v>Polymer PFS</x:v>
      </x:c>
      <x:c r="G35" s="180" t="str">
        <x:v>Daikyo Crystal Zenith Polymer Ready-to-Use Prefillable Syringes</x:v>
      </x:c>
      <x:c r="H35" s="180" t="str">
        <x:v>Family</x:v>
      </x:c>
      <x:c r="I35" s="205" t="str"/>
      <x:c r="J35" s="180" t="str"/>
      <x:c r="K35" s="180" t="str"/>
      <x:c r="L35" s="180" t="str"/>
      <x:c r="M35" s="180" t="str"/>
      <x:c r="N35" s="180" t="str"/>
      <x:c r="O35" s="180" t="str"/>
      <x:c r="P35" s="180" t="str"/>
      <x:c r="Q35" s="180" t="str"/>
      <x:c r="R35" s="180" t="str">
        <x:v>Global / availability varies</x:v>
      </x:c>
      <x:c r="S35" s="180" t="str">
        <x:v>Contact West / account dependent</x:v>
      </x:c>
      <x:c r="T35" s="180" t="str">
        <x:v>Active</x:v>
      </x:c>
      <x:c r="U35" s="180" t="str">
        <x:v>High</x:v>
      </x:c>
      <x:c r="V35" s="180" t="str">
        <x:v>Public family verified</x:v>
      </x:c>
      <x:c r="W35" s="180" t="str">
        <x:v>West official website</x:v>
      </x:c>
      <x:c r="X35" s="180" t="str">
        <x:v>https://www.westpharma.com/products/prefillable-syringes/daikyo-prefillable-syringes</x:v>
      </x:c>
      <x:c r="Y35" s="199" t="n">
        <x:v>46224.942662037036</x:v>
      </x:c>
      <x:c r="Z35" s="199" t="n">
        <x:v>46224.942662037036</x:v>
      </x:c>
      <x:c r="AA35" s="180" t="n">
        <x:v>0</x:v>
      </x:c>
      <x:c r="AB35" s="180" t="n">
        <x:v>1</x:v>
      </x:c>
      <x:c r="AC35" s="180" t="str">
        <x:v>Public-source seed researched through 2026-07-21.</x:v>
      </x:c>
      <x:c r="AD35" s="186" t="str">
        <x:f>IF(OR(T35&lt;&gt;"Active",U35="Low",ISNUMBER(SEARCH("not publicly",V35)),ISNUMBER(SEARCH("review",T35))),"REVIEW","OK")</x:f>
        <x:v>OK</x:v>
      </x:c>
    </x:row>
    <x:row r="36">
      <x:c r="A36" s="185" t="str">
        <x:v>sku:ART2342</x:v>
      </x:c>
      <x:c r="B36" s="180" t="str">
        <x:v>West Pharmaceutical Services, Inc.</x:v>
      </x:c>
      <x:c r="C36" s="180" t="str">
        <x:v>Parent / consolidated</x:v>
      </x:c>
      <x:c r="D36" s="180" t="str">
        <x:v>FluroTec</x:v>
      </x:c>
      <x:c r="E36" s="180" t="str">
        <x:v>Prefillable Syringes</x:v>
      </x:c>
      <x:c r="F36" s="180" t="str">
        <x:v>Syringe components</x:v>
      </x:c>
      <x:c r="G36" s="180" t="str">
        <x:v>0.5mL FluroTec Laminated Plunger</x:v>
      </x:c>
      <x:c r="H36" s="180" t="str">
        <x:v>Configuration</x:v>
      </x:c>
      <x:c r="I36" s="205" t="str">
        <x:v>Art 2342</x:v>
      </x:c>
      <x:c r="J36" s="180" t="str">
        <x:v>0.5mL</x:v>
      </x:c>
      <x:c r="K36" s="180" t="str"/>
      <x:c r="L36" s="180" t="str"/>
      <x:c r="M36" s="180" t="str"/>
      <x:c r="N36" s="180" t="str">
        <x:v>FluroTec barrier film</x:v>
      </x:c>
      <x:c r="O36" s="180" t="str"/>
      <x:c r="P36" s="180" t="str"/>
      <x:c r="Q36" s="180" t="str"/>
      <x:c r="R36" s="180" t="str">
        <x:v>Global / availability varies</x:v>
      </x:c>
      <x:c r="S36" s="180" t="str">
        <x:v>Contact West / account dependent</x:v>
      </x:c>
      <x:c r="T36" s="180" t="str">
        <x:v>Active</x:v>
      </x:c>
      <x:c r="U36" s="180" t="str">
        <x:v>High</x:v>
      </x:c>
      <x:c r="V36" s="180" t="str">
        <x:v>Public configuration verified</x:v>
      </x:c>
      <x:c r="W36" s="180" t="str">
        <x:v>West official website</x:v>
      </x:c>
      <x:c r="X36" s="180" t="str">
        <x:v>https://www.westpharma.com/products/prefillable-syringes/syringe-components/flurotec-barrier-film-laminated-plungers</x:v>
      </x:c>
      <x:c r="Y36" s="199" t="n">
        <x:v>46224.942662037036</x:v>
      </x:c>
      <x:c r="Z36" s="199" t="n">
        <x:v>46224.942662037036</x:v>
      </x:c>
      <x:c r="AA36" s="180" t="n">
        <x:v>0</x:v>
      </x:c>
      <x:c r="AB36" s="180" t="n">
        <x:v>1</x:v>
      </x:c>
      <x:c r="AC36" s="180" t="str">
        <x:v>Article/design identifier, not confirmed as a West commercial material number. Public-source seed researched through 2026-07-21.</x:v>
      </x:c>
      <x:c r="AD36" s="186" t="str">
        <x:f>IF(OR(T36&lt;&gt;"Active",U36="Low",ISNUMBER(SEARCH("not publicly",V36)),ISNUMBER(SEARCH("review",T36))),"REVIEW","OK")</x:f>
        <x:v>OK</x:v>
      </x:c>
    </x:row>
    <x:row r="37">
      <x:c r="A37" s="185" t="str">
        <x:v>sku:ART2345</x:v>
      </x:c>
      <x:c r="B37" s="180" t="str">
        <x:v>West Pharmaceutical Services, Inc.</x:v>
      </x:c>
      <x:c r="C37" s="180" t="str">
        <x:v>Parent / consolidated</x:v>
      </x:c>
      <x:c r="D37" s="180" t="str">
        <x:v>FluroTec</x:v>
      </x:c>
      <x:c r="E37" s="180" t="str">
        <x:v>Prefillable Syringes</x:v>
      </x:c>
      <x:c r="F37" s="180" t="str">
        <x:v>Syringe components</x:v>
      </x:c>
      <x:c r="G37" s="180" t="str">
        <x:v>1-3mL FluroTec Laminated Plunger</x:v>
      </x:c>
      <x:c r="H37" s="180" t="str">
        <x:v>Configuration</x:v>
      </x:c>
      <x:c r="I37" s="205" t="str">
        <x:v>Art 2345</x:v>
      </x:c>
      <x:c r="J37" s="180" t="str">
        <x:v>1-3mL</x:v>
      </x:c>
      <x:c r="K37" s="180" t="str"/>
      <x:c r="L37" s="180" t="str"/>
      <x:c r="M37" s="180" t="str"/>
      <x:c r="N37" s="180" t="str">
        <x:v>FluroTec barrier film</x:v>
      </x:c>
      <x:c r="O37" s="180" t="str"/>
      <x:c r="P37" s="180" t="str"/>
      <x:c r="Q37" s="180" t="str"/>
      <x:c r="R37" s="180" t="str">
        <x:v>Global / availability varies</x:v>
      </x:c>
      <x:c r="S37" s="180" t="str">
        <x:v>Contact West / account dependent</x:v>
      </x:c>
      <x:c r="T37" s="180" t="str">
        <x:v>Active</x:v>
      </x:c>
      <x:c r="U37" s="180" t="str">
        <x:v>High</x:v>
      </x:c>
      <x:c r="V37" s="180" t="str">
        <x:v>Public configuration verified</x:v>
      </x:c>
      <x:c r="W37" s="180" t="str">
        <x:v>West official website</x:v>
      </x:c>
      <x:c r="X37" s="180" t="str">
        <x:v>https://www.westpharma.com/products/prefillable-syringes/syringe-components/flurotec-barrier-film-laminated-plungers</x:v>
      </x:c>
      <x:c r="Y37" s="199" t="n">
        <x:v>46224.942662037036</x:v>
      </x:c>
      <x:c r="Z37" s="199" t="n">
        <x:v>46224.942662037036</x:v>
      </x:c>
      <x:c r="AA37" s="180" t="n">
        <x:v>0</x:v>
      </x:c>
      <x:c r="AB37" s="180" t="n">
        <x:v>1</x:v>
      </x:c>
      <x:c r="AC37" s="180" t="str">
        <x:v>Article/design identifier, not confirmed as a West commercial material number. Public-source seed researched through 2026-07-21.</x:v>
      </x:c>
      <x:c r="AD37" s="186" t="str">
        <x:f>IF(OR(T37&lt;&gt;"Active",U37="Low",ISNUMBER(SEARCH("not publicly",V37)),ISNUMBER(SEARCH("review",T37))),"REVIEW","OK")</x:f>
        <x:v>OK</x:v>
      </x:c>
    </x:row>
    <x:row r="38">
      <x:c r="A38" s="185" t="str">
        <x:v>url:a9d86c4669b5c697a01e</x:v>
      </x:c>
      <x:c r="B38" s="180" t="str">
        <x:v>West Pharmaceutical Services, Inc.</x:v>
      </x:c>
      <x:c r="C38" s="180" t="str">
        <x:v>Parent / consolidated</x:v>
      </x:c>
      <x:c r="D38" s="180" t="str">
        <x:v>Daikyo D Sigma</x:v>
      </x:c>
      <x:c r="E38" s="180" t="str">
        <x:v>Prefillable Syringes</x:v>
      </x:c>
      <x:c r="F38" s="180" t="str">
        <x:v>Syringe components</x:v>
      </x:c>
      <x:c r="G38" s="180" t="str">
        <x:v>1mL Long Daikyo D Sigma Piston for Glass Syringes</x:v>
      </x:c>
      <x:c r="H38" s="180" t="str">
        <x:v>Family</x:v>
      </x:c>
      <x:c r="I38" s="205" t="str"/>
      <x:c r="J38" s="180" t="str">
        <x:v>1mL Long</x:v>
      </x:c>
      <x:c r="K38" s="180" t="str"/>
      <x:c r="L38" s="180" t="str"/>
      <x:c r="M38" s="180" t="str"/>
      <x:c r="N38" s="180" t="str">
        <x:v>Fluoropolymer laminated</x:v>
      </x:c>
      <x:c r="O38" s="180" t="str"/>
      <x:c r="P38" s="180" t="str"/>
      <x:c r="Q38" s="180" t="str"/>
      <x:c r="R38" s="180" t="str">
        <x:v>Global / availability varies</x:v>
      </x:c>
      <x:c r="S38" s="180" t="str">
        <x:v>Contact West / account dependent</x:v>
      </x:c>
      <x:c r="T38" s="180" t="str">
        <x:v>Active</x:v>
      </x:c>
      <x:c r="U38" s="180" t="str">
        <x:v>High</x:v>
      </x:c>
      <x:c r="V38" s="180" t="str">
        <x:v>Public family verified</x:v>
      </x:c>
      <x:c r="W38" s="180" t="str">
        <x:v>West official website</x:v>
      </x:c>
      <x:c r="X38" s="180" t="str">
        <x:v>https://www.westpharma.com/products/prefillable-syringes/syringe-components/daikyo-d-sigma-glass-syringe-piston-plunger</x:v>
      </x:c>
      <x:c r="Y38" s="199" t="n">
        <x:v>46224.942662037036</x:v>
      </x:c>
      <x:c r="Z38" s="199" t="n">
        <x:v>46224.942662037036</x:v>
      </x:c>
      <x:c r="AA38" s="180" t="n">
        <x:v>0</x:v>
      </x:c>
      <x:c r="AB38" s="180" t="n">
        <x:v>1</x:v>
      </x:c>
      <x:c r="AC38" s="180" t="str">
        <x:v>Public-source seed researched through 2026-07-21.</x:v>
      </x:c>
      <x:c r="AD38" s="186" t="str">
        <x:f>IF(OR(T38&lt;&gt;"Active",U38="Low",ISNUMBER(SEARCH("not publicly",V38)),ISNUMBER(SEARCH("review",T38))),"REVIEW","OK")</x:f>
        <x:v>OK</x:v>
      </x:c>
    </x:row>
    <x:row r="39">
      <x:c r="A39" s="185" t="str">
        <x:v>sku:ART2340</x:v>
      </x:c>
      <x:c r="B39" s="180" t="str">
        <x:v>West Pharmaceutical Services, Inc.</x:v>
      </x:c>
      <x:c r="C39" s="180" t="str">
        <x:v>Parent / consolidated</x:v>
      </x:c>
      <x:c r="D39" s="180" t="str">
        <x:v>FluroTec</x:v>
      </x:c>
      <x:c r="E39" s="180" t="str">
        <x:v>Prefillable Syringes</x:v>
      </x:c>
      <x:c r="F39" s="180" t="str">
        <x:v>Syringe components</x:v>
      </x:c>
      <x:c r="G39" s="180" t="str">
        <x:v>1mL Long FluroTec Laminated Plunger</x:v>
      </x:c>
      <x:c r="H39" s="180" t="str">
        <x:v>Configuration</x:v>
      </x:c>
      <x:c r="I39" s="205" t="str">
        <x:v>Art 2340</x:v>
      </x:c>
      <x:c r="J39" s="180" t="str">
        <x:v>1mL Long</x:v>
      </x:c>
      <x:c r="K39" s="180" t="str"/>
      <x:c r="L39" s="180" t="str"/>
      <x:c r="M39" s="180" t="str"/>
      <x:c r="N39" s="180" t="str">
        <x:v>FluroTec barrier film</x:v>
      </x:c>
      <x:c r="O39" s="180" t="str"/>
      <x:c r="P39" s="180" t="str"/>
      <x:c r="Q39" s="180" t="str"/>
      <x:c r="R39" s="180" t="str">
        <x:v>Global / availability varies</x:v>
      </x:c>
      <x:c r="S39" s="180" t="str">
        <x:v>Contact West / account dependent</x:v>
      </x:c>
      <x:c r="T39" s="180" t="str">
        <x:v>Active</x:v>
      </x:c>
      <x:c r="U39" s="180" t="str">
        <x:v>High</x:v>
      </x:c>
      <x:c r="V39" s="180" t="str">
        <x:v>Public configuration verified</x:v>
      </x:c>
      <x:c r="W39" s="180" t="str">
        <x:v>West official website</x:v>
      </x:c>
      <x:c r="X39" s="180" t="str">
        <x:v>https://www.westpharma.com/products/prefillable-syringes/syringe-components/flurotec-barrier-film-laminated-plungers</x:v>
      </x:c>
      <x:c r="Y39" s="199" t="n">
        <x:v>46224.942662037036</x:v>
      </x:c>
      <x:c r="Z39" s="199" t="n">
        <x:v>46224.942662037036</x:v>
      </x:c>
      <x:c r="AA39" s="180" t="n">
        <x:v>0</x:v>
      </x:c>
      <x:c r="AB39" s="180" t="n">
        <x:v>1</x:v>
      </x:c>
      <x:c r="AC39" s="180" t="str">
        <x:v>Article/design identifier, not confirmed as a West commercial material number. Public-source seed researched through 2026-07-21.</x:v>
      </x:c>
      <x:c r="AD39" s="186" t="str">
        <x:f>IF(OR(T39&lt;&gt;"Active",U39="Low",ISNUMBER(SEARCH("not publicly",V39)),ISNUMBER(SEARCH("review",T39))),"REVIEW","OK")</x:f>
        <x:v>OK</x:v>
      </x:c>
    </x:row>
    <x:row r="40">
      <x:c r="A40" s="185" t="str">
        <x:v>sku:ART2346</x:v>
      </x:c>
      <x:c r="B40" s="180" t="str">
        <x:v>West Pharmaceutical Services, Inc.</x:v>
      </x:c>
      <x:c r="C40" s="180" t="str">
        <x:v>Parent / consolidated</x:v>
      </x:c>
      <x:c r="D40" s="180" t="str">
        <x:v>FluroTec</x:v>
      </x:c>
      <x:c r="E40" s="180" t="str">
        <x:v>Prefillable Syringes</x:v>
      </x:c>
      <x:c r="F40" s="180" t="str">
        <x:v>Syringe components</x:v>
      </x:c>
      <x:c r="G40" s="180" t="str">
        <x:v>5mL FluroTec Laminated Plunger</x:v>
      </x:c>
      <x:c r="H40" s="180" t="str">
        <x:v>Configuration</x:v>
      </x:c>
      <x:c r="I40" s="205" t="str">
        <x:v>Art 2346</x:v>
      </x:c>
      <x:c r="J40" s="180" t="str">
        <x:v>5mL</x:v>
      </x:c>
      <x:c r="K40" s="180" t="str"/>
      <x:c r="L40" s="180" t="str"/>
      <x:c r="M40" s="180" t="str"/>
      <x:c r="N40" s="180" t="str">
        <x:v>FluroTec barrier film</x:v>
      </x:c>
      <x:c r="O40" s="180" t="str"/>
      <x:c r="P40" s="180" t="str"/>
      <x:c r="Q40" s="180" t="str"/>
      <x:c r="R40" s="180" t="str">
        <x:v>Global / availability varies</x:v>
      </x:c>
      <x:c r="S40" s="180" t="str">
        <x:v>Contact West / account dependent</x:v>
      </x:c>
      <x:c r="T40" s="180" t="str">
        <x:v>Active</x:v>
      </x:c>
      <x:c r="U40" s="180" t="str">
        <x:v>High</x:v>
      </x:c>
      <x:c r="V40" s="180" t="str">
        <x:v>Public configuration verified</x:v>
      </x:c>
      <x:c r="W40" s="180" t="str">
        <x:v>West official website</x:v>
      </x:c>
      <x:c r="X40" s="180" t="str">
        <x:v>https://www.westpharma.com/products/prefillable-syringes/syringe-components/flurotec-barrier-film-laminated-plungers</x:v>
      </x:c>
      <x:c r="Y40" s="199" t="n">
        <x:v>46224.942662037036</x:v>
      </x:c>
      <x:c r="Z40" s="199" t="n">
        <x:v>46224.942662037036</x:v>
      </x:c>
      <x:c r="AA40" s="180" t="n">
        <x:v>0</x:v>
      </x:c>
      <x:c r="AB40" s="180" t="n">
        <x:v>1</x:v>
      </x:c>
      <x:c r="AC40" s="180" t="str">
        <x:v>Article/design identifier, not confirmed as a West commercial material number. Public-source seed researched through 2026-07-21.</x:v>
      </x:c>
      <x:c r="AD40" s="186" t="str">
        <x:f>IF(OR(T40&lt;&gt;"Active",U40="Low",ISNUMBER(SEARCH("not publicly",V40)),ISNUMBER(SEARCH("review",T40))),"REVIEW","OK")</x:f>
        <x:v>OK</x:v>
      </x:c>
    </x:row>
    <x:row r="41">
      <x:c r="A41" s="185" t="str">
        <x:v>url:c12550b0a12038f5812b</x:v>
      </x:c>
      <x:c r="B41" s="180" t="str">
        <x:v>West Pharmaceutical Services, Inc.</x:v>
      </x:c>
      <x:c r="C41" s="180" t="str">
        <x:v>Parent / consolidated</x:v>
      </x:c>
      <x:c r="D41" s="180" t="str">
        <x:v>FluroTec</x:v>
      </x:c>
      <x:c r="E41" s="180" t="str">
        <x:v>Prefillable Syringes</x:v>
      </x:c>
      <x:c r="F41" s="180" t="str">
        <x:v>Syringe components</x:v>
      </x:c>
      <x:c r="G41" s="180" t="str">
        <x:v>FluroTec Plungers</x:v>
      </x:c>
      <x:c r="H41" s="180" t="str">
        <x:v>Family</x:v>
      </x:c>
      <x:c r="I41" s="205" t="str"/>
      <x:c r="J41" s="180" t="str">
        <x:v>0.5mL; 1mL Long; 1-3mL; 5mL</x:v>
      </x:c>
      <x:c r="K41" s="180" t="str"/>
      <x:c r="L41" s="180" t="str"/>
      <x:c r="M41" s="180" t="str"/>
      <x:c r="N41" s="180" t="str">
        <x:v>FluroTec barrier film</x:v>
      </x:c>
      <x:c r="O41" s="180" t="str">
        <x:v>Optional by configuration</x:v>
      </x:c>
      <x:c r="P41" s="180" t="str"/>
      <x:c r="Q41" s="180" t="str"/>
      <x:c r="R41" s="180" t="str">
        <x:v>Global / availability varies</x:v>
      </x:c>
      <x:c r="S41" s="180" t="str">
        <x:v>Contact West / account dependent</x:v>
      </x:c>
      <x:c r="T41" s="180" t="str">
        <x:v>Active</x:v>
      </x:c>
      <x:c r="U41" s="180" t="str">
        <x:v>High</x:v>
      </x:c>
      <x:c r="V41" s="180" t="str">
        <x:v>Public family verified</x:v>
      </x:c>
      <x:c r="W41" s="180" t="str">
        <x:v>West official website</x:v>
      </x:c>
      <x:c r="X41" s="180" t="str">
        <x:v>https://www.westpharma.com/products/prefillable-syringes/syringe-components/flurotec-barrier-film-laminated-plungers</x:v>
      </x:c>
      <x:c r="Y41" s="199" t="n">
        <x:v>46224.942662037036</x:v>
      </x:c>
      <x:c r="Z41" s="199" t="n">
        <x:v>46224.942662037036</x:v>
      </x:c>
      <x:c r="AA41" s="180" t="n">
        <x:v>0</x:v>
      </x:c>
      <x:c r="AB41" s="180" t="n">
        <x:v>1</x:v>
      </x:c>
      <x:c r="AC41" s="180" t="str">
        <x:v>Public-source seed researched through 2026-07-21.</x:v>
      </x:c>
      <x:c r="AD41" s="186" t="str">
        <x:f>IF(OR(T41&lt;&gt;"Active",U41="Low",ISNUMBER(SEARCH("not publicly",V41)),ISNUMBER(SEARCH("review",T41))),"REVIEW","OK")</x:f>
        <x:v>OK</x:v>
      </x:c>
    </x:row>
    <x:row r="42">
      <x:c r="A42" s="185" t="str">
        <x:v>url:1e1fa5adb8f96d4c7fda</x:v>
      </x:c>
      <x:c r="B42" s="180" t="str">
        <x:v>West Pharmaceutical Services, Inc.</x:v>
      </x:c>
      <x:c r="C42" s="180" t="str">
        <x:v>Parent / consolidated</x:v>
      </x:c>
      <x:c r="D42" s="180" t="str">
        <x:v>NovaPure</x:v>
      </x:c>
      <x:c r="E42" s="180" t="str">
        <x:v>Prefillable Syringes</x:v>
      </x:c>
      <x:c r="F42" s="180" t="str">
        <x:v>Syringe components</x:v>
      </x:c>
      <x:c r="G42" s="180" t="str">
        <x:v>NovaPure Syringe Plungers</x:v>
      </x:c>
      <x:c r="H42" s="180" t="str">
        <x:v>Family</x:v>
      </x:c>
      <x:c r="I42" s="205" t="str"/>
      <x:c r="J42" s="180" t="str">
        <x:v>0.5mL; 1mL Long; 1-3mL</x:v>
      </x:c>
      <x:c r="K42" s="180" t="str"/>
      <x:c r="L42" s="180" t="str"/>
      <x:c r="M42" s="180" t="str"/>
      <x:c r="N42" s="180" t="str">
        <x:v>FluroTec barrier film and B2 coating</x:v>
      </x:c>
      <x:c r="O42" s="180" t="str">
        <x:v>100% Envision verification</x:v>
      </x:c>
      <x:c r="P42" s="180" t="str"/>
      <x:c r="Q42" s="180" t="str"/>
      <x:c r="R42" s="180" t="str">
        <x:v>Global / availability varies</x:v>
      </x:c>
      <x:c r="S42" s="180" t="str">
        <x:v>Contact West / account dependent</x:v>
      </x:c>
      <x:c r="T42" s="180" t="str">
        <x:v>Active</x:v>
      </x:c>
      <x:c r="U42" s="180" t="str">
        <x:v>High</x:v>
      </x:c>
      <x:c r="V42" s="180" t="str">
        <x:v>Public family verified</x:v>
      </x:c>
      <x:c r="W42" s="180" t="str">
        <x:v>West official website</x:v>
      </x:c>
      <x:c r="X42" s="180" t="str">
        <x:v>https://www.westpharma.com/products/prefillable-syringes/syringe-components/novapure-elastomeric-1ml-3ml-plungers</x:v>
      </x:c>
      <x:c r="Y42" s="199" t="n">
        <x:v>46224.942662037036</x:v>
      </x:c>
      <x:c r="Z42" s="199" t="n">
        <x:v>46224.942662037036</x:v>
      </x:c>
      <x:c r="AA42" s="180" t="n">
        <x:v>0</x:v>
      </x:c>
      <x:c r="AB42" s="180" t="n">
        <x:v>1</x:v>
      </x:c>
      <x:c r="AC42" s="180" t="str">
        <x:v>Public-source seed researched through 2026-07-21.</x:v>
      </x:c>
      <x:c r="AD42" s="186" t="str">
        <x:f>IF(OR(T42&lt;&gt;"Active",U42="Low",ISNUMBER(SEARCH("not publicly",V42)),ISNUMBER(SEARCH("review",T42))),"REVIEW","OK")</x:f>
        <x:v>OK</x:v>
      </x:c>
    </x:row>
    <x:row r="43">
      <x:c r="A43" s="185" t="str">
        <x:v>url:97f504195ca7f90c9dbe</x:v>
      </x:c>
      <x:c r="B43" s="180" t="str">
        <x:v>West Pharmaceutical Services, Inc.</x:v>
      </x:c>
      <x:c r="C43" s="180" t="str">
        <x:v>Parent / consolidated</x:v>
      </x:c>
      <x:c r="D43" s="180" t="str">
        <x:v>Envision</x:v>
      </x:c>
      <x:c r="E43" s="180" t="str">
        <x:v>Prefillable Syringes</x:v>
      </x:c>
      <x:c r="F43" s="180" t="str">
        <x:v>Syringe components</x:v>
      </x:c>
      <x:c r="G43" s="180" t="str">
        <x:v>Syringe Plungers with Envision Verification</x:v>
      </x:c>
      <x:c r="H43" s="180" t="str">
        <x:v>Family</x:v>
      </x:c>
      <x:c r="I43" s="205" t="str"/>
      <x:c r="J43" s="180" t="str">
        <x:v>Multiple configurations</x:v>
      </x:c>
      <x:c r="K43" s="180" t="str"/>
      <x:c r="L43" s="180" t="str"/>
      <x:c r="M43" s="180" t="str"/>
      <x:c r="N43" s="180" t="str">
        <x:v>Varies</x:v>
      </x:c>
      <x:c r="O43" s="180" t="str">
        <x:v>Envision automated vision inspection</x:v>
      </x:c>
      <x:c r="P43" s="180" t="str"/>
      <x:c r="Q43" s="180" t="str"/>
      <x:c r="R43" s="180" t="str">
        <x:v>Global / availability varies</x:v>
      </x:c>
      <x:c r="S43" s="180" t="str">
        <x:v>Contact West / account dependent</x:v>
      </x:c>
      <x:c r="T43" s="180" t="str">
        <x:v>Active</x:v>
      </x:c>
      <x:c r="U43" s="180" t="str">
        <x:v>High</x:v>
      </x:c>
      <x:c r="V43" s="180" t="str">
        <x:v>Public family verified</x:v>
      </x:c>
      <x:c r="W43" s="180" t="str">
        <x:v>West official website</x:v>
      </x:c>
      <x:c r="X43" s="180" t="str">
        <x:v>https://www.westpharma.com/products/prefillable-syringes/syringe-components/envision-automated-plungers-inspection-system</x:v>
      </x:c>
      <x:c r="Y43" s="199" t="n">
        <x:v>46224.942662037036</x:v>
      </x:c>
      <x:c r="Z43" s="199" t="n">
        <x:v>46224.942662037036</x:v>
      </x:c>
      <x:c r="AA43" s="180" t="n">
        <x:v>0</x:v>
      </x:c>
      <x:c r="AB43" s="180" t="n">
        <x:v>1</x:v>
      </x:c>
      <x:c r="AC43" s="180" t="str">
        <x:v>Public-source seed researched through 2026-07-21.</x:v>
      </x:c>
      <x:c r="AD43" s="186" t="str">
        <x:f>IF(OR(T43&lt;&gt;"Active",U43="Low",ISNUMBER(SEARCH("not publicly",V43)),ISNUMBER(SEARCH("review",T43))),"REVIEW","OK")</x:f>
        <x:v>OK</x:v>
      </x:c>
    </x:row>
    <x:row r="44">
      <x:c r="A44" s="185" t="str">
        <x:v>url:f45eda31a35158868c60</x:v>
      </x:c>
      <x:c r="B44" s="180" t="str">
        <x:v>West Pharmaceutical Services, Inc.</x:v>
      </x:c>
      <x:c r="C44" s="180" t="str">
        <x:v>Parent / consolidated</x:v>
      </x:c>
      <x:c r="D44" s="180" t="str">
        <x:v>Westar Select</x:v>
      </x:c>
      <x:c r="E44" s="180" t="str">
        <x:v>Prefillable Syringes</x:v>
      </x:c>
      <x:c r="F44" s="180" t="str">
        <x:v>Syringe components</x:v>
      </x:c>
      <x:c r="G44" s="180" t="str">
        <x:v>Syringe Plungers with Westar Select Quality Level</x:v>
      </x:c>
      <x:c r="H44" s="180" t="str">
        <x:v>Family</x:v>
      </x:c>
      <x:c r="I44" s="205" t="str"/>
      <x:c r="J44" s="180" t="str">
        <x:v>Multiple configurations</x:v>
      </x:c>
      <x:c r="K44" s="180" t="str"/>
      <x:c r="L44" s="180" t="str"/>
      <x:c r="M44" s="180" t="str"/>
      <x:c r="N44" s="180" t="str">
        <x:v>Varies</x:v>
      </x:c>
      <x:c r="O44" s="180" t="str">
        <x:v>Enhanced AQL / optional inspection</x:v>
      </x:c>
      <x:c r="P44" s="180" t="str"/>
      <x:c r="Q44" s="180" t="str"/>
      <x:c r="R44" s="180" t="str">
        <x:v>Global / availability varies</x:v>
      </x:c>
      <x:c r="S44" s="180" t="str">
        <x:v>Contact West / account dependent</x:v>
      </x:c>
      <x:c r="T44" s="180" t="str">
        <x:v>Active</x:v>
      </x:c>
      <x:c r="U44" s="180" t="str">
        <x:v>High</x:v>
      </x:c>
      <x:c r="V44" s="180" t="str">
        <x:v>Public family verified</x:v>
      </x:c>
      <x:c r="W44" s="180" t="str">
        <x:v>West official website</x:v>
      </x:c>
      <x:c r="X44" s="180" t="str">
        <x:v>https://www.westpharma.com/products/prefillable-syringes/syringe-components/westar-select-syringe-plungers</x:v>
      </x:c>
      <x:c r="Y44" s="199" t="n">
        <x:v>46224.942662037036</x:v>
      </x:c>
      <x:c r="Z44" s="199" t="n">
        <x:v>46224.942662037036</x:v>
      </x:c>
      <x:c r="AA44" s="180" t="n">
        <x:v>0</x:v>
      </x:c>
      <x:c r="AB44" s="180" t="n">
        <x:v>1</x:v>
      </x:c>
      <x:c r="AC44" s="180" t="str">
        <x:v>Public-source seed researched through 2026-07-21.</x:v>
      </x:c>
      <x:c r="AD44" s="186" t="str">
        <x:f>IF(OR(T44&lt;&gt;"Active",U44="Low",ISNUMBER(SEARCH("not publicly",V44)),ISNUMBER(SEARCH("review",T44))),"REVIEW","OK")</x:f>
        <x:v>OK</x:v>
      </x:c>
    </x:row>
    <x:row r="45">
      <x:c r="A45" s="185" t="str">
        <x:v>sku:11101409</x:v>
      </x:c>
      <x:c r="B45" s="180" t="str">
        <x:v>West Pharmaceutical Services, Inc.</x:v>
      </x:c>
      <x:c r="C45" s="180" t="str">
        <x:v>Parent / consolidated</x:v>
      </x:c>
      <x:c r="D45" s="180" t="str">
        <x:v>NovaPure</x:v>
      </x:c>
      <x:c r="E45" s="180" t="str">
        <x:v>Prefillable Syringes</x:v>
      </x:c>
      <x:c r="F45" s="180" t="str">
        <x:v>Syringe plungers</x:v>
      </x:c>
      <x:c r="G45" s="180" t="str">
        <x:v>1-3mL NovaPure RTU Bromobutyl 4023/50 Plungers</x:v>
      </x:c>
      <x:c r="H45" s="180" t="str">
        <x:v>SKU</x:v>
      </x:c>
      <x:c r="I45" s="205" t="str">
        <x:v>11101409</x:v>
      </x:c>
      <x:c r="J45" s="180" t="str">
        <x:v>1-3mL</x:v>
      </x:c>
      <x:c r="K45" s="180" t="str"/>
      <x:c r="L45" s="180" t="str">
        <x:v>Bromobutyl 4023/50</x:v>
      </x:c>
      <x:c r="M45" s="180" t="str">
        <x:v>RTU</x:v>
      </x:c>
      <x:c r="N45" s="180" t="str"/>
      <x:c r="O45" s="180" t="str"/>
      <x:c r="P45" s="180" t="str"/>
      <x:c r="Q45" s="180" t="str"/>
      <x:c r="R45" s="180" t="str">
        <x:v>Global / availability varies</x:v>
      </x:c>
      <x:c r="S45" s="180" t="str">
        <x:v>Observed in public West online-store indexing; account availability may differ</x:v>
      </x:c>
      <x:c r="T45" s="180" t="str">
        <x:v>Active</x:v>
      </x:c>
      <x:c r="U45" s="180" t="str">
        <x:v>High</x:v>
      </x:c>
      <x:c r="V45" s="180" t="str">
        <x:v>Public store SKU verified</x:v>
      </x:c>
      <x:c r="W45" s="180" t="str">
        <x:v>West Online Store indexed product page</x:v>
      </x:c>
      <x:c r="X45" s="180" t="str">
        <x:v>https://www.westpharma.com/online-store/all-products</x:v>
      </x:c>
      <x:c r="Y45" s="199" t="n">
        <x:v>46224.942662037036</x:v>
      </x:c>
      <x:c r="Z45" s="199" t="n">
        <x:v>46224.942662037036</x:v>
      </x:c>
      <x:c r="AA45" s="180" t="n">
        <x:v>0</x:v>
      </x:c>
      <x:c r="AB45" s="180" t="n">
        <x:v>1</x:v>
      </x:c>
      <x:c r="AC45" s="180" t="str">
        <x:v>Exact product-detail URL should be refreshed by the Playwright crawler; duplicate item-number rows are deduplicated by canonical SKU key. Public-source seed researched through 2026-07-21.</x:v>
      </x:c>
      <x:c r="AD45" s="186" t="str">
        <x:f>IF(OR(T45&lt;&gt;"Active",U45="Low",ISNUMBER(SEARCH("not publicly",V45)),ISNUMBER(SEARCH("review",T45))),"REVIEW","OK")</x:f>
        <x:v>OK</x:v>
      </x:c>
    </x:row>
    <x:row r="46">
      <x:c r="A46" s="185" t="str">
        <x:v>sku:100010460</x:v>
      </x:c>
      <x:c r="B46" s="180" t="str">
        <x:v>West Pharmaceutical Services, Inc.</x:v>
      </x:c>
      <x:c r="C46" s="180" t="str">
        <x:v>Parent / consolidated</x:v>
      </x:c>
      <x:c r="D46" s="180" t="str">
        <x:v>NovaPure</x:v>
      </x:c>
      <x:c r="E46" s="180" t="str">
        <x:v>Prefillable Syringes</x:v>
      </x:c>
      <x:c r="F46" s="180" t="str">
        <x:v>Syringe plungers</x:v>
      </x:c>
      <x:c r="G46" s="180" t="str">
        <x:v>1-3mL NovaPure RTU Bromobutyl 4023/50 Syringe Plungers</x:v>
      </x:c>
      <x:c r="H46" s="180" t="str">
        <x:v>SKU</x:v>
      </x:c>
      <x:c r="I46" s="205" t="str">
        <x:v>100010460</x:v>
      </x:c>
      <x:c r="J46" s="180" t="str">
        <x:v>1-3mL</x:v>
      </x:c>
      <x:c r="K46" s="180" t="str"/>
      <x:c r="L46" s="180" t="str">
        <x:v>Bromobutyl 4023/50</x:v>
      </x:c>
      <x:c r="M46" s="180" t="str">
        <x:v>RTU</x:v>
      </x:c>
      <x:c r="N46" s="180" t="str"/>
      <x:c r="O46" s="180" t="str"/>
      <x:c r="P46" s="180" t="str"/>
      <x:c r="Q46" s="180" t="str"/>
      <x:c r="R46" s="180" t="str">
        <x:v>Global / availability varies</x:v>
      </x:c>
      <x:c r="S46" s="180" t="str">
        <x:v>Observed in public West online-store indexing; account availability may differ</x:v>
      </x:c>
      <x:c r="T46" s="180" t="str">
        <x:v>Active</x:v>
      </x:c>
      <x:c r="U46" s="180" t="str">
        <x:v>High</x:v>
      </x:c>
      <x:c r="V46" s="180" t="str">
        <x:v>Public store SKU verified</x:v>
      </x:c>
      <x:c r="W46" s="180" t="str">
        <x:v>West Online Store indexed product page</x:v>
      </x:c>
      <x:c r="X46" s="180" t="str">
        <x:v>https://www.westpharma.com/online-store/all-products</x:v>
      </x:c>
      <x:c r="Y46" s="199" t="n">
        <x:v>46224.942662037036</x:v>
      </x:c>
      <x:c r="Z46" s="199" t="n">
        <x:v>46224.942662037036</x:v>
      </x:c>
      <x:c r="AA46" s="180" t="n">
        <x:v>0</x:v>
      </x:c>
      <x:c r="AB46" s="180" t="n">
        <x:v>1</x:v>
      </x:c>
      <x:c r="AC46" s="180" t="str">
        <x:v>Exact product-detail URL should be refreshed by the Playwright crawler; duplicate item-number rows are deduplicated by canonical SKU key. Public-source seed researched through 2026-07-21.</x:v>
      </x:c>
      <x:c r="AD46" s="186" t="str">
        <x:f>IF(OR(T46&lt;&gt;"Active",U46="Low",ISNUMBER(SEARCH("not publicly",V46)),ISNUMBER(SEARCH("review",T46))),"REVIEW","OK")</x:f>
        <x:v>OK</x:v>
      </x:c>
    </x:row>
    <x:row r="47">
      <x:c r="A47" s="185" t="str">
        <x:v>sku:100015056</x:v>
      </x:c>
      <x:c r="B47" s="180" t="str">
        <x:v>West Pharmaceutical Services, Inc.</x:v>
      </x:c>
      <x:c r="C47" s="180" t="str">
        <x:v>Parent / consolidated</x:v>
      </x:c>
      <x:c r="D47" s="180" t="str">
        <x:v>NovaPure</x:v>
      </x:c>
      <x:c r="E47" s="180" t="str">
        <x:v>Prefillable Syringes</x:v>
      </x:c>
      <x:c r="F47" s="180" t="str">
        <x:v>Syringe plungers</x:v>
      </x:c>
      <x:c r="G47" s="180" t="str">
        <x:v>1-3mL NovaPure RTU Bromobutyl Syringe Plungers</x:v>
      </x:c>
      <x:c r="H47" s="180" t="str">
        <x:v>SKU</x:v>
      </x:c>
      <x:c r="I47" s="205" t="str">
        <x:v>100015056</x:v>
      </x:c>
      <x:c r="J47" s="180" t="str">
        <x:v>1-3mL</x:v>
      </x:c>
      <x:c r="K47" s="180" t="str"/>
      <x:c r="L47" s="180" t="str">
        <x:v>Bromobutyl</x:v>
      </x:c>
      <x:c r="M47" s="180" t="str">
        <x:v>RTU</x:v>
      </x:c>
      <x:c r="N47" s="180" t="str"/>
      <x:c r="O47" s="180" t="str"/>
      <x:c r="P47" s="180" t="str"/>
      <x:c r="Q47" s="180" t="str"/>
      <x:c r="R47" s="180" t="str">
        <x:v>Global / availability varies</x:v>
      </x:c>
      <x:c r="S47" s="180" t="str">
        <x:v>Observed in public West online-store indexing; account availability may differ</x:v>
      </x:c>
      <x:c r="T47" s="180" t="str">
        <x:v>Active</x:v>
      </x:c>
      <x:c r="U47" s="180" t="str">
        <x:v>High</x:v>
      </x:c>
      <x:c r="V47" s="180" t="str">
        <x:v>Public store SKU verified</x:v>
      </x:c>
      <x:c r="W47" s="180" t="str">
        <x:v>West Online Store indexed product page</x:v>
      </x:c>
      <x:c r="X47" s="180" t="str">
        <x:v>https://www.westpharma.com/online-store/all-products</x:v>
      </x:c>
      <x:c r="Y47" s="199" t="n">
        <x:v>46224.942662037036</x:v>
      </x:c>
      <x:c r="Z47" s="199" t="n">
        <x:v>46224.942662037036</x:v>
      </x:c>
      <x:c r="AA47" s="180" t="n">
        <x:v>0</x:v>
      </x:c>
      <x:c r="AB47" s="180" t="n">
        <x:v>1</x:v>
      </x:c>
      <x:c r="AC47" s="180" t="str">
        <x:v>Exact product-detail URL should be refreshed by the Playwright crawler; duplicate item-number rows are deduplicated by canonical SKU key. Public-source seed researched through 2026-07-21.</x:v>
      </x:c>
      <x:c r="AD47" s="186" t="str">
        <x:f>IF(OR(T47&lt;&gt;"Active",U47="Low",ISNUMBER(SEARCH("not publicly",V47)),ISNUMBER(SEARCH("review",T47))),"REVIEW","OK")</x:f>
        <x:v>OK</x:v>
      </x:c>
    </x:row>
    <x:row r="48">
      <x:c r="A48" s="185" t="str">
        <x:v>sku:10149806</x:v>
      </x:c>
      <x:c r="B48" s="180" t="str">
        <x:v>West Pharmaceutical Services, Inc.</x:v>
      </x:c>
      <x:c r="C48" s="180" t="str">
        <x:v>Parent / consolidated</x:v>
      </x:c>
      <x:c r="D48" s="180" t="str">
        <x:v>FluroTec</x:v>
      </x:c>
      <x:c r="E48" s="180" t="str">
        <x:v>Prefillable Syringes</x:v>
      </x:c>
      <x:c r="F48" s="180" t="str">
        <x:v>Syringe plungers</x:v>
      </x:c>
      <x:c r="G48" s="180" t="str">
        <x:v>1mL Long FluroTec Film-Laminated RTU Bromobutyl 4023/50 Plungers</x:v>
      </x:c>
      <x:c r="H48" s="180" t="str">
        <x:v>SKU</x:v>
      </x:c>
      <x:c r="I48" s="205" t="str">
        <x:v>10149806</x:v>
      </x:c>
      <x:c r="J48" s="180" t="str">
        <x:v>1mL Long</x:v>
      </x:c>
      <x:c r="K48" s="180" t="str"/>
      <x:c r="L48" s="180" t="str">
        <x:v>Bromobutyl 4023/50</x:v>
      </x:c>
      <x:c r="M48" s="180" t="str">
        <x:v>RTU</x:v>
      </x:c>
      <x:c r="N48" s="180" t="str"/>
      <x:c r="O48" s="180" t="str"/>
      <x:c r="P48" s="180" t="str"/>
      <x:c r="Q48" s="180" t="str"/>
      <x:c r="R48" s="180" t="str">
        <x:v>Global / availability varies</x:v>
      </x:c>
      <x:c r="S48" s="180" t="str">
        <x:v>Observed in public West online-store indexing; account availability may differ</x:v>
      </x:c>
      <x:c r="T48" s="180" t="str">
        <x:v>Active</x:v>
      </x:c>
      <x:c r="U48" s="180" t="str">
        <x:v>High</x:v>
      </x:c>
      <x:c r="V48" s="180" t="str">
        <x:v>Public store SKU verified</x:v>
      </x:c>
      <x:c r="W48" s="180" t="str">
        <x:v>West Online Store indexed product page</x:v>
      </x:c>
      <x:c r="X48" s="180" t="str">
        <x:v>https://www.westpharma.com/online-store/all-products</x:v>
      </x:c>
      <x:c r="Y48" s="199" t="n">
        <x:v>46224.942662037036</x:v>
      </x:c>
      <x:c r="Z48" s="199" t="n">
        <x:v>46224.942662037036</x:v>
      </x:c>
      <x:c r="AA48" s="180" t="n">
        <x:v>0</x:v>
      </x:c>
      <x:c r="AB48" s="180" t="n">
        <x:v>1</x:v>
      </x:c>
      <x:c r="AC48" s="180" t="str">
        <x:v>Exact product-detail URL should be refreshed by the Playwright crawler; duplicate item-number rows are deduplicated by canonical SKU key. Public-source seed researched through 2026-07-21.</x:v>
      </x:c>
      <x:c r="AD48" s="186" t="str">
        <x:f>IF(OR(T48&lt;&gt;"Active",U48="Low",ISNUMBER(SEARCH("not publicly",V48)),ISNUMBER(SEARCH("review",T48))),"REVIEW","OK")</x:f>
        <x:v>OK</x:v>
      </x:c>
    </x:row>
    <x:row r="49">
      <x:c r="A49" s="185" t="str">
        <x:v>sku:100010424</x:v>
      </x:c>
      <x:c r="B49" s="180" t="str">
        <x:v>West Pharmaceutical Services, Inc.</x:v>
      </x:c>
      <x:c r="C49" s="180" t="str">
        <x:v>Parent / consolidated</x:v>
      </x:c>
      <x:c r="D49" s="180" t="str">
        <x:v>NovaPure</x:v>
      </x:c>
      <x:c r="E49" s="180" t="str">
        <x:v>Prefillable Syringes</x:v>
      </x:c>
      <x:c r="F49" s="180" t="str">
        <x:v>Syringe plungers</x:v>
      </x:c>
      <x:c r="G49" s="180" t="str">
        <x:v>1mL Long NovaPure RTU Bromobutyl Plungers</x:v>
      </x:c>
      <x:c r="H49" s="180" t="str">
        <x:v>SKU</x:v>
      </x:c>
      <x:c r="I49" s="205" t="str">
        <x:v>100010424</x:v>
      </x:c>
      <x:c r="J49" s="180" t="str">
        <x:v>1mL Long</x:v>
      </x:c>
      <x:c r="K49" s="180" t="str"/>
      <x:c r="L49" s="180" t="str">
        <x:v>Bromobutyl</x:v>
      </x:c>
      <x:c r="M49" s="180" t="str">
        <x:v>RTU</x:v>
      </x:c>
      <x:c r="N49" s="180" t="str"/>
      <x:c r="O49" s="180" t="str"/>
      <x:c r="P49" s="180" t="str"/>
      <x:c r="Q49" s="180" t="str"/>
      <x:c r="R49" s="180" t="str">
        <x:v>Global / availability varies</x:v>
      </x:c>
      <x:c r="S49" s="180" t="str">
        <x:v>Observed in public West online-store indexing; account availability may differ</x:v>
      </x:c>
      <x:c r="T49" s="180" t="str">
        <x:v>Active</x:v>
      </x:c>
      <x:c r="U49" s="180" t="str">
        <x:v>High</x:v>
      </x:c>
      <x:c r="V49" s="180" t="str">
        <x:v>Public store SKU verified</x:v>
      </x:c>
      <x:c r="W49" s="180" t="str">
        <x:v>West Online Store indexed product page</x:v>
      </x:c>
      <x:c r="X49" s="180" t="str">
        <x:v>https://www.westpharma.com/online-store/all-products</x:v>
      </x:c>
      <x:c r="Y49" s="199" t="n">
        <x:v>46224.942662037036</x:v>
      </x:c>
      <x:c r="Z49" s="199" t="n">
        <x:v>46224.942662037036</x:v>
      </x:c>
      <x:c r="AA49" s="180" t="n">
        <x:v>0</x:v>
      </x:c>
      <x:c r="AB49" s="180" t="n">
        <x:v>1</x:v>
      </x:c>
      <x:c r="AC49" s="180" t="str">
        <x:v>Exact product-detail URL should be refreshed by the Playwright crawler; duplicate item-number rows are deduplicated by canonical SKU key. Public-source seed researched through 2026-07-21.</x:v>
      </x:c>
      <x:c r="AD49" s="186" t="str">
        <x:f>IF(OR(T49&lt;&gt;"Active",U49="Low",ISNUMBER(SEARCH("not publicly",V49)),ISNUMBER(SEARCH("review",T49))),"REVIEW","OK")</x:f>
        <x:v>OK</x:v>
      </x:c>
    </x:row>
    <x:row r="50">
      <x:c r="A50" s="185" t="str">
        <x:v>sku:100013519</x:v>
      </x:c>
      <x:c r="B50" s="180" t="str">
        <x:v>West Pharmaceutical Services, Inc.</x:v>
      </x:c>
      <x:c r="C50" s="180" t="str">
        <x:v>Parent / consolidated</x:v>
      </x:c>
      <x:c r="D50" s="180" t="str">
        <x:v>NovaPure</x:v>
      </x:c>
      <x:c r="E50" s="180" t="str">
        <x:v>Prefillable Syringes</x:v>
      </x:c>
      <x:c r="F50" s="180" t="str">
        <x:v>Syringe plungers</x:v>
      </x:c>
      <x:c r="G50" s="180" t="str">
        <x:v>1mL Long NovaPure RU Bromobutyl Syringe Plungers</x:v>
      </x:c>
      <x:c r="H50" s="180" t="str">
        <x:v>SKU</x:v>
      </x:c>
      <x:c r="I50" s="205" t="str">
        <x:v>100013519</x:v>
      </x:c>
      <x:c r="J50" s="180" t="str">
        <x:v>1mL Long</x:v>
      </x:c>
      <x:c r="K50" s="180" t="str"/>
      <x:c r="L50" s="180" t="str">
        <x:v>Bromobutyl</x:v>
      </x:c>
      <x:c r="M50" s="180" t="str">
        <x:v>RU</x:v>
      </x:c>
      <x:c r="N50" s="180" t="str"/>
      <x:c r="O50" s="180" t="str"/>
      <x:c r="P50" s="180" t="str"/>
      <x:c r="Q50" s="180" t="str"/>
      <x:c r="R50" s="180" t="str">
        <x:v>Global / availability varies</x:v>
      </x:c>
      <x:c r="S50" s="180" t="str">
        <x:v>Observed in public West online-store indexing; account availability may differ</x:v>
      </x:c>
      <x:c r="T50" s="180" t="str">
        <x:v>Active</x:v>
      </x:c>
      <x:c r="U50" s="180" t="str">
        <x:v>High</x:v>
      </x:c>
      <x:c r="V50" s="180" t="str">
        <x:v>Public store SKU verified</x:v>
      </x:c>
      <x:c r="W50" s="180" t="str">
        <x:v>West Online Store indexed product page</x:v>
      </x:c>
      <x:c r="X50" s="180" t="str">
        <x:v>https://www.westpharma.com/online-store/all-products</x:v>
      </x:c>
      <x:c r="Y50" s="199" t="n">
        <x:v>46224.942662037036</x:v>
      </x:c>
      <x:c r="Z50" s="199" t="n">
        <x:v>46224.942662037036</x:v>
      </x:c>
      <x:c r="AA50" s="180" t="n">
        <x:v>0</x:v>
      </x:c>
      <x:c r="AB50" s="180" t="n">
        <x:v>1</x:v>
      </x:c>
      <x:c r="AC50" s="180" t="str">
        <x:v>Exact product-detail URL should be refreshed by the Playwright crawler; duplicate item-number rows are deduplicated by canonical SKU key. Public-source seed researched through 2026-07-21.</x:v>
      </x:c>
      <x:c r="AD50" s="186" t="str">
        <x:f>IF(OR(T50&lt;&gt;"Active",U50="Low",ISNUMBER(SEARCH("not publicly",V50)),ISNUMBER(SEARCH("review",T50))),"REVIEW","OK")</x:f>
        <x:v>OK</x:v>
      </x:c>
    </x:row>
    <x:row r="51">
      <x:c r="A51" s="185" t="str">
        <x:v>sku:100015062</x:v>
      </x:c>
      <x:c r="B51" s="180" t="str">
        <x:v>West Pharmaceutical Services, Inc.</x:v>
      </x:c>
      <x:c r="C51" s="180" t="str">
        <x:v>Parent / consolidated</x:v>
      </x:c>
      <x:c r="D51" s="180" t="str">
        <x:v>NovaPure</x:v>
      </x:c>
      <x:c r="E51" s="180" t="str">
        <x:v>Prefillable Syringes</x:v>
      </x:c>
      <x:c r="F51" s="180" t="str">
        <x:v>Syringe plungers</x:v>
      </x:c>
      <x:c r="G51" s="180" t="str">
        <x:v>1mL Long NovaPure RU Plungers Small Pack</x:v>
      </x:c>
      <x:c r="H51" s="180" t="str">
        <x:v>SKU</x:v>
      </x:c>
      <x:c r="I51" s="205" t="str">
        <x:v>100015062</x:v>
      </x:c>
      <x:c r="J51" s="180" t="str">
        <x:v>1mL Long</x:v>
      </x:c>
      <x:c r="K51" s="180" t="str"/>
      <x:c r="L51" s="180" t="str">
        <x:v>Bromobutyl</x:v>
      </x:c>
      <x:c r="M51" s="180" t="str">
        <x:v>RU</x:v>
      </x:c>
      <x:c r="N51" s="180" t="str"/>
      <x:c r="O51" s="180" t="str"/>
      <x:c r="P51" s="180" t="str"/>
      <x:c r="Q51" s="180" t="str"/>
      <x:c r="R51" s="180" t="str">
        <x:v>Global / availability varies</x:v>
      </x:c>
      <x:c r="S51" s="180" t="str">
        <x:v>Observed in public West online-store indexing; account availability may differ</x:v>
      </x:c>
      <x:c r="T51" s="180" t="str">
        <x:v>Active</x:v>
      </x:c>
      <x:c r="U51" s="180" t="str">
        <x:v>High</x:v>
      </x:c>
      <x:c r="V51" s="180" t="str">
        <x:v>Public store SKU verified</x:v>
      </x:c>
      <x:c r="W51" s="180" t="str">
        <x:v>West Online Store indexed product page</x:v>
      </x:c>
      <x:c r="X51" s="180" t="str">
        <x:v>https://www.westpharma.com/online-store/all-products</x:v>
      </x:c>
      <x:c r="Y51" s="199" t="n">
        <x:v>46224.942662037036</x:v>
      </x:c>
      <x:c r="Z51" s="199" t="n">
        <x:v>46224.942662037036</x:v>
      </x:c>
      <x:c r="AA51" s="180" t="n">
        <x:v>0</x:v>
      </x:c>
      <x:c r="AB51" s="180" t="n">
        <x:v>1</x:v>
      </x:c>
      <x:c r="AC51" s="180" t="str">
        <x:v>Exact product-detail URL should be refreshed by the Playwright crawler; duplicate item-number rows are deduplicated by canonical SKU key. Public-source seed researched through 2026-07-21.</x:v>
      </x:c>
      <x:c r="AD51" s="186" t="str">
        <x:f>IF(OR(T51&lt;&gt;"Active",U51="Low",ISNUMBER(SEARCH("not publicly",V51)),ISNUMBER(SEARCH("review",T51))),"REVIEW","OK")</x:f>
        <x:v>OK</x:v>
      </x:c>
    </x:row>
    <x:row r="52">
      <x:c r="A52" s="185" t="str">
        <x:v>sku:19560822</x:v>
      </x:c>
      <x:c r="B52" s="180" t="str">
        <x:v>West Pharmaceutical Services, Inc.</x:v>
      </x:c>
      <x:c r="C52" s="180" t="str">
        <x:v>Parent / consolidated</x:v>
      </x:c>
      <x:c r="D52" s="180" t="str">
        <x:v>Daikyo D Sigma</x:v>
      </x:c>
      <x:c r="E52" s="180" t="str">
        <x:v>Prefillable Syringes</x:v>
      </x:c>
      <x:c r="F52" s="180" t="str">
        <x:v>Syringe plungers</x:v>
      </x:c>
      <x:c r="G52" s="180" t="str">
        <x:v>Daikyo D Sigma 1mL Long RTU Chlorobutyl D21-7H Syringe Plungers</x:v>
      </x:c>
      <x:c r="H52" s="180" t="str">
        <x:v>SKU</x:v>
      </x:c>
      <x:c r="I52" s="205" t="str">
        <x:v>19560822</x:v>
      </x:c>
      <x:c r="J52" s="180" t="str">
        <x:v>1mL Long</x:v>
      </x:c>
      <x:c r="K52" s="180" t="str"/>
      <x:c r="L52" s="180" t="str">
        <x:v>Chlorobutyl D21-7H</x:v>
      </x:c>
      <x:c r="M52" s="180" t="str">
        <x:v>RTU</x:v>
      </x:c>
      <x:c r="N52" s="180" t="str"/>
      <x:c r="O52" s="180" t="str"/>
      <x:c r="P52" s="180" t="str"/>
      <x:c r="Q52" s="180" t="str"/>
      <x:c r="R52" s="180" t="str">
        <x:v>Global / availability varies</x:v>
      </x:c>
      <x:c r="S52" s="180" t="str">
        <x:v>Observed in public West online-store indexing; account availability may differ</x:v>
      </x:c>
      <x:c r="T52" s="180" t="str">
        <x:v>Active</x:v>
      </x:c>
      <x:c r="U52" s="180" t="str">
        <x:v>High</x:v>
      </x:c>
      <x:c r="V52" s="180" t="str">
        <x:v>Public store SKU verified</x:v>
      </x:c>
      <x:c r="W52" s="180" t="str">
        <x:v>West Online Store indexed product page</x:v>
      </x:c>
      <x:c r="X52" s="180" t="str">
        <x:v>https://www.westpharma.com/online-store/all-products</x:v>
      </x:c>
      <x:c r="Y52" s="199" t="n">
        <x:v>46224.942662037036</x:v>
      </x:c>
      <x:c r="Z52" s="199" t="n">
        <x:v>46224.942662037036</x:v>
      </x:c>
      <x:c r="AA52" s="180" t="n">
        <x:v>0</x:v>
      </x:c>
      <x:c r="AB52" s="180" t="n">
        <x:v>1</x:v>
      </x:c>
      <x:c r="AC52" s="180" t="str">
        <x:v>Exact product-detail URL should be refreshed by the Playwright crawler; duplicate item-number rows are deduplicated by canonical SKU key. Public-source seed researched through 2026-07-21.</x:v>
      </x:c>
      <x:c r="AD52" s="186" t="str">
        <x:f>IF(OR(T52&lt;&gt;"Active",U52="Low",ISNUMBER(SEARCH("not publicly",V52)),ISNUMBER(SEARCH("review",T52))),"REVIEW","OK")</x:f>
        <x:v>OK</x:v>
      </x:c>
    </x:row>
    <x:row r="53">
      <x:c r="A53" s="185" t="str">
        <x:v>url:03be482a5690fe1795c5</x:v>
      </x:c>
      <x:c r="B53" s="180" t="str">
        <x:v>West Pharmaceutical Services, Inc.</x:v>
      </x:c>
      <x:c r="C53" s="180" t="str">
        <x:v>Parent / consolidated</x:v>
      </x:c>
      <x:c r="D53" s="180" t="str">
        <x:v>B2 Coating</x:v>
      </x:c>
      <x:c r="E53" s="180" t="str">
        <x:v>Quality Enhancements</x:v>
      </x:c>
      <x:c r="F53" s="180" t="str">
        <x:v>Component processing / technology</x:v>
      </x:c>
      <x:c r="G53" s="180" t="str">
        <x:v>B2 Coating</x:v>
      </x:c>
      <x:c r="H53" s="180" t="str">
        <x:v>Family</x:v>
      </x:c>
      <x:c r="I53" s="205" t="str"/>
      <x:c r="J53" s="180" t="str"/>
      <x:c r="K53" s="180" t="str"/>
      <x:c r="L53" s="180" t="str"/>
      <x:c r="M53" s="180" t="str">
        <x:v>Silicone-free surface coating</x:v>
      </x:c>
      <x:c r="N53" s="180" t="str"/>
      <x:c r="O53" s="180" t="str"/>
      <x:c r="P53" s="180" t="str"/>
      <x:c r="Q53" s="180" t="str"/>
      <x:c r="R53" s="180" t="str">
        <x:v>Global / availability varies</x:v>
      </x:c>
      <x:c r="S53" s="180" t="str">
        <x:v>Contact West / account dependent</x:v>
      </x:c>
      <x:c r="T53" s="180" t="str">
        <x:v>Active</x:v>
      </x:c>
      <x:c r="U53" s="180" t="str">
        <x:v>High</x:v>
      </x:c>
      <x:c r="V53" s="180" t="str">
        <x:v>Public process offering verified</x:v>
      </x:c>
      <x:c r="W53" s="180" t="str">
        <x:v>West official website</x:v>
      </x:c>
      <x:c r="X53" s="180" t="str">
        <x:v>https://www.westpharma.com/products/quality-enhancements/films-and-coatings</x:v>
      </x:c>
      <x:c r="Y53" s="199" t="n">
        <x:v>46224.942662037036</x:v>
      </x:c>
      <x:c r="Z53" s="199" t="n">
        <x:v>46224.942662037036</x:v>
      </x:c>
      <x:c r="AA53" s="180" t="n">
        <x:v>0</x:v>
      </x:c>
      <x:c r="AB53" s="180" t="n">
        <x:v>1</x:v>
      </x:c>
      <x:c r="AC53" s="180" t="str">
        <x:v>Public-source seed researched through 2026-07-21.</x:v>
      </x:c>
      <x:c r="AD53" s="186" t="str">
        <x:f>IF(OR(T53&lt;&gt;"Active",U53="Low",ISNUMBER(SEARCH("not publicly",V53)),ISNUMBER(SEARCH("review",T53))),"REVIEW","OK")</x:f>
        <x:v>OK</x:v>
      </x:c>
    </x:row>
    <x:row r="54">
      <x:c r="A54" s="185" t="str">
        <x:v>url:7881607bdb28958d1a83</x:v>
      </x:c>
      <x:c r="B54" s="180" t="str">
        <x:v>West Pharmaceutical Services, Inc.</x:v>
      </x:c>
      <x:c r="C54" s="180" t="str">
        <x:v>Parent / consolidated</x:v>
      </x:c>
      <x:c r="D54" s="180" t="str">
        <x:v>Envision</x:v>
      </x:c>
      <x:c r="E54" s="180" t="str">
        <x:v>Quality Enhancements</x:v>
      </x:c>
      <x:c r="F54" s="180" t="str">
        <x:v>Component processing / technology</x:v>
      </x:c>
      <x:c r="G54" s="180" t="str">
        <x:v>Envision Verification Process</x:v>
      </x:c>
      <x:c r="H54" s="180" t="str">
        <x:v>Family</x:v>
      </x:c>
      <x:c r="I54" s="205" t="str"/>
      <x:c r="J54" s="180" t="str"/>
      <x:c r="K54" s="180" t="str"/>
      <x:c r="L54" s="180" t="str"/>
      <x:c r="M54" s="180" t="str">
        <x:v>Automated vision inspection after Westar wash</x:v>
      </x:c>
      <x:c r="N54" s="180" t="str"/>
      <x:c r="O54" s="180" t="str"/>
      <x:c r="P54" s="180" t="str"/>
      <x:c r="Q54" s="180" t="str"/>
      <x:c r="R54" s="180" t="str">
        <x:v>Global / availability varies</x:v>
      </x:c>
      <x:c r="S54" s="180" t="str">
        <x:v>Contact West / account dependent</x:v>
      </x:c>
      <x:c r="T54" s="180" t="str">
        <x:v>Active</x:v>
      </x:c>
      <x:c r="U54" s="180" t="str">
        <x:v>High</x:v>
      </x:c>
      <x:c r="V54" s="180" t="str">
        <x:v>Public process offering verified</x:v>
      </x:c>
      <x:c r="W54" s="180" t="str">
        <x:v>West official website</x:v>
      </x:c>
      <x:c r="X54" s="180" t="str">
        <x:v>https://www.westpharma.com/products/quality-enhancements/envision-automated-vision-inspection-process-enhance-quality</x:v>
      </x:c>
      <x:c r="Y54" s="199" t="n">
        <x:v>46224.942662037036</x:v>
      </x:c>
      <x:c r="Z54" s="199" t="n">
        <x:v>46224.942662037036</x:v>
      </x:c>
      <x:c r="AA54" s="180" t="n">
        <x:v>0</x:v>
      </x:c>
      <x:c r="AB54" s="180" t="n">
        <x:v>1</x:v>
      </x:c>
      <x:c r="AC54" s="180" t="str">
        <x:v>Public-source seed researched through 2026-07-21.</x:v>
      </x:c>
      <x:c r="AD54" s="186" t="str">
        <x:f>IF(OR(T54&lt;&gt;"Active",U54="Low",ISNUMBER(SEARCH("not publicly",V54)),ISNUMBER(SEARCH("review",T54))),"REVIEW","OK")</x:f>
        <x:v>OK</x:v>
      </x:c>
    </x:row>
    <x:row r="55">
      <x:c r="A55" s="185" t="str">
        <x:v>url:534fde8e59880177536a</x:v>
      </x:c>
      <x:c r="B55" s="180" t="str">
        <x:v>West Pharmaceutical Services, Inc.</x:v>
      </x:c>
      <x:c r="C55" s="180" t="str">
        <x:v>Parent / consolidated</x:v>
      </x:c>
      <x:c r="D55" s="180" t="str">
        <x:v>FluroTec</x:v>
      </x:c>
      <x:c r="E55" s="180" t="str">
        <x:v>Quality Enhancements</x:v>
      </x:c>
      <x:c r="F55" s="180" t="str">
        <x:v>Component processing / technology</x:v>
      </x:c>
      <x:c r="G55" s="180" t="str">
        <x:v>FluroTec Barrier Film</x:v>
      </x:c>
      <x:c r="H55" s="180" t="str">
        <x:v>Family</x:v>
      </x:c>
      <x:c r="I55" s="205" t="str"/>
      <x:c r="J55" s="180" t="str"/>
      <x:c r="K55" s="180" t="str"/>
      <x:c r="L55" s="180" t="str"/>
      <x:c r="M55" s="180" t="str">
        <x:v>Barrier-film lamination during molding</x:v>
      </x:c>
      <x:c r="N55" s="180" t="str"/>
      <x:c r="O55" s="180" t="str"/>
      <x:c r="P55" s="180" t="str"/>
      <x:c r="Q55" s="180" t="str"/>
      <x:c r="R55" s="180" t="str">
        <x:v>Global / availability varies</x:v>
      </x:c>
      <x:c r="S55" s="180" t="str">
        <x:v>Contact West / account dependent</x:v>
      </x:c>
      <x:c r="T55" s="180" t="str">
        <x:v>Active</x:v>
      </x:c>
      <x:c r="U55" s="180" t="str">
        <x:v>High</x:v>
      </x:c>
      <x:c r="V55" s="180" t="str">
        <x:v>Public process offering verified</x:v>
      </x:c>
      <x:c r="W55" s="180" t="str">
        <x:v>West official website</x:v>
      </x:c>
      <x:c r="X55" s="180" t="str">
        <x:v>https://www.westpharma.com/products/quality-enhancements/films-and-coatings</x:v>
      </x:c>
      <x:c r="Y55" s="199" t="n">
        <x:v>46224.942662037036</x:v>
      </x:c>
      <x:c r="Z55" s="199" t="n">
        <x:v>46224.942662037036</x:v>
      </x:c>
      <x:c r="AA55" s="180" t="n">
        <x:v>0</x:v>
      </x:c>
      <x:c r="AB55" s="180" t="n">
        <x:v>1</x:v>
      </x:c>
      <x:c r="AC55" s="180" t="str">
        <x:v>Public-source seed researched through 2026-07-21.</x:v>
      </x:c>
      <x:c r="AD55" s="186" t="str">
        <x:f>IF(OR(T55&lt;&gt;"Active",U55="Low",ISNUMBER(SEARCH("not publicly",V55)),ISNUMBER(SEARCH("review",T55))),"REVIEW","OK")</x:f>
        <x:v>OK</x:v>
      </x:c>
    </x:row>
    <x:row r="56">
      <x:c r="A56" s="185" t="str">
        <x:v>url:6688c0e72720104dc3c4</x:v>
      </x:c>
      <x:c r="B56" s="180" t="str">
        <x:v>West Pharmaceutical Services, Inc.</x:v>
      </x:c>
      <x:c r="C56" s="180" t="str">
        <x:v>Parent / consolidated</x:v>
      </x:c>
      <x:c r="D56" s="180" t="str">
        <x:v>Westar RS</x:v>
      </x:c>
      <x:c r="E56" s="180" t="str">
        <x:v>Quality Enhancements</x:v>
      </x:c>
      <x:c r="F56" s="180" t="str">
        <x:v>Component processing / technology</x:v>
      </x:c>
      <x:c r="G56" s="180" t="str">
        <x:v>Westar RS Washed Components</x:v>
      </x:c>
      <x:c r="H56" s="180" t="str">
        <x:v>Family</x:v>
      </x:c>
      <x:c r="I56" s="205" t="str"/>
      <x:c r="J56" s="180" t="str"/>
      <x:c r="K56" s="180" t="str"/>
      <x:c r="L56" s="180" t="str"/>
      <x:c r="M56" s="180" t="str">
        <x:v>Washed; ready to sterilize</x:v>
      </x:c>
      <x:c r="N56" s="180" t="str"/>
      <x:c r="O56" s="180" t="str"/>
      <x:c r="P56" s="180" t="str"/>
      <x:c r="Q56" s="180" t="str"/>
      <x:c r="R56" s="180" t="str">
        <x:v>Global / availability varies</x:v>
      </x:c>
      <x:c r="S56" s="180" t="str">
        <x:v>Contact West / account dependent</x:v>
      </x:c>
      <x:c r="T56" s="180" t="str">
        <x:v>Active</x:v>
      </x:c>
      <x:c r="U56" s="180" t="str">
        <x:v>High</x:v>
      </x:c>
      <x:c r="V56" s="180" t="str">
        <x:v>Public process offering verified</x:v>
      </x:c>
      <x:c r="W56" s="180" t="str">
        <x:v>West official website</x:v>
      </x:c>
      <x:c r="X56" s="180" t="str">
        <x:v>https://www.westpharma.com/products/quality-enhancements/washed-components</x:v>
      </x:c>
      <x:c r="Y56" s="199" t="n">
        <x:v>46224.942662037036</x:v>
      </x:c>
      <x:c r="Z56" s="199" t="n">
        <x:v>46224.942662037036</x:v>
      </x:c>
      <x:c r="AA56" s="180" t="n">
        <x:v>0</x:v>
      </x:c>
      <x:c r="AB56" s="180" t="n">
        <x:v>1</x:v>
      </x:c>
      <x:c r="AC56" s="180" t="str">
        <x:v>Public-source seed researched through 2026-07-21.</x:v>
      </x:c>
      <x:c r="AD56" s="186" t="str">
        <x:f>IF(OR(T56&lt;&gt;"Active",U56="Low",ISNUMBER(SEARCH("not publicly",V56)),ISNUMBER(SEARCH("review",T56))),"REVIEW","OK")</x:f>
        <x:v>OK</x:v>
      </x:c>
    </x:row>
    <x:row r="57">
      <x:c r="A57" s="185" t="str">
        <x:v>url:32b18b4c9dde1ac2e793</x:v>
      </x:c>
      <x:c r="B57" s="180" t="str">
        <x:v>West Pharmaceutical Services, Inc.</x:v>
      </x:c>
      <x:c r="C57" s="180" t="str">
        <x:v>Parent / consolidated</x:v>
      </x:c>
      <x:c r="D57" s="180" t="str">
        <x:v>Westar RU</x:v>
      </x:c>
      <x:c r="E57" s="180" t="str">
        <x:v>Quality Enhancements</x:v>
      </x:c>
      <x:c r="F57" s="180" t="str">
        <x:v>Component processing / technology</x:v>
      </x:c>
      <x:c r="G57" s="180" t="str">
        <x:v>Westar RU Sterilized Components</x:v>
      </x:c>
      <x:c r="H57" s="180" t="str">
        <x:v>Family</x:v>
      </x:c>
      <x:c r="I57" s="205" t="str"/>
      <x:c r="J57" s="180" t="str"/>
      <x:c r="K57" s="180" t="str"/>
      <x:c r="L57" s="180" t="str"/>
      <x:c r="M57" s="180" t="str">
        <x:v>Washed and sterilized; ready to use</x:v>
      </x:c>
      <x:c r="N57" s="180" t="str"/>
      <x:c r="O57" s="180" t="str"/>
      <x:c r="P57" s="180" t="str"/>
      <x:c r="Q57" s="180" t="str"/>
      <x:c r="R57" s="180" t="str">
        <x:v>Global / availability varies</x:v>
      </x:c>
      <x:c r="S57" s="180" t="str">
        <x:v>Contact West / account dependent</x:v>
      </x:c>
      <x:c r="T57" s="180" t="str">
        <x:v>Active</x:v>
      </x:c>
      <x:c r="U57" s="180" t="str">
        <x:v>High</x:v>
      </x:c>
      <x:c r="V57" s="180" t="str">
        <x:v>Public process offering verified</x:v>
      </x:c>
      <x:c r="W57" s="180" t="str">
        <x:v>West official website</x:v>
      </x:c>
      <x:c r="X57" s="180" t="str">
        <x:v>https://www.westpharma.com/products/quality-enhancements/sterilized-components</x:v>
      </x:c>
      <x:c r="Y57" s="199" t="n">
        <x:v>46224.942662037036</x:v>
      </x:c>
      <x:c r="Z57" s="199" t="n">
        <x:v>46224.942662037036</x:v>
      </x:c>
      <x:c r="AA57" s="180" t="n">
        <x:v>0</x:v>
      </x:c>
      <x:c r="AB57" s="180" t="n">
        <x:v>1</x:v>
      </x:c>
      <x:c r="AC57" s="180" t="str">
        <x:v>Public-source seed researched through 2026-07-21.</x:v>
      </x:c>
      <x:c r="AD57" s="186" t="str">
        <x:f>IF(OR(T57&lt;&gt;"Active",U57="Low",ISNUMBER(SEARCH("not publicly",V57)),ISNUMBER(SEARCH("review",T57))),"REVIEW","OK")</x:f>
        <x:v>OK</x:v>
      </x:c>
    </x:row>
    <x:row r="58">
      <x:c r="A58" s="185" t="str">
        <x:v>sku:K062482</x:v>
      </x:c>
      <x:c r="B58" s="180" t="str">
        <x:v>Medimop Medical Projects Ltd. (now West Pharma. Services IL, Ltd.)</x:v>
      </x:c>
      <x:c r="C58" s="180" t="str">
        <x:v>Legacy acquired entity / current 100%-owned subsidiary</x:v>
      </x:c>
      <x:c r="D58" s="180" t="str">
        <x:v>Vial Adapter</x:v>
      </x:c>
      <x:c r="E58" s="180" t="str">
        <x:v>Regulatory Records</x:v>
      </x:c>
      <x:c r="F58" s="180" t="str">
        <x:v>510(k)</x:v>
      </x:c>
      <x:c r="G58" s="180" t="str">
        <x:v>Vented Vial Adapter Transfer Device — FDA K062482</x:v>
      </x:c>
      <x:c r="H58" s="180" t="str">
        <x:v>Regulatory record</x:v>
      </x:c>
      <x:c r="I58" s="205" t="str">
        <x:v>K062482</x:v>
      </x:c>
      <x:c r="J58" s="180" t="str"/>
      <x:c r="K58" s="180" t="str"/>
      <x:c r="L58" s="180" t="str"/>
      <x:c r="M58" s="180" t="str"/>
      <x:c r="N58" s="180" t="str"/>
      <x:c r="O58" s="180" t="str"/>
      <x:c r="P58" s="180" t="str"/>
      <x:c r="Q58" s="180" t="str"/>
      <x:c r="R58" s="180" t="str">
        <x:v>United States</x:v>
      </x:c>
      <x:c r="S58" s="180" t="str">
        <x:v>FDA-cleared; current product page separately verified</x:v>
      </x:c>
      <x:c r="T58" s="180" t="str">
        <x:v>Active</x:v>
      </x:c>
      <x:c r="U58" s="180" t="str">
        <x:v>High</x:v>
      </x:c>
      <x:c r="V58" s="180" t="str">
        <x:v>FDA regulatory record verified</x:v>
      </x:c>
      <x:c r="W58" s="180" t="str">
        <x:v>FDA 510(k) summary</x:v>
      </x:c>
      <x:c r="X58" s="180" t="str">
        <x:v>https://www.accessdata.fda.gov/cdrh_docs/pdf6/K062482.pdf</x:v>
      </x:c>
      <x:c r="Y58" s="199" t="n">
        <x:v>46224.942662037036</x:v>
      </x:c>
      <x:c r="Z58" s="199" t="n">
        <x:v>46224.942662037036</x:v>
      </x:c>
      <x:c r="AA58" s="180" t="n">
        <x:v>0</x:v>
      </x:c>
      <x:c r="AB58" s="180" t="n">
        <x:v>1</x:v>
      </x:c>
      <x:c r="AC58" s="180" t="str">
        <x:v>Public-source seed researched through 2026-07-21.</x:v>
      </x:c>
      <x:c r="AD58" s="186" t="str">
        <x:f>IF(OR(T58&lt;&gt;"Active",U58="Low",ISNUMBER(SEARCH("not publicly",V58)),ISNUMBER(SEARCH("review",T58))),"REVIEW","OK")</x:f>
        <x:v>OK</x:v>
      </x:c>
    </x:row>
    <x:row r="59">
      <x:c r="A59" s="185" t="str">
        <x:v>sku:K230988</x:v>
      </x:c>
      <x:c r="B59" s="180" t="str">
        <x:v>West Pharma. Services IL, Ltd.</x:v>
      </x:c>
      <x:c r="C59" s="180" t="str">
        <x:v>100%-owned subsidiary</x:v>
      </x:c>
      <x:c r="D59" s="180" t="str">
        <x:v>Vial2Bag Advanced</x:v>
      </x:c>
      <x:c r="E59" s="180" t="str">
        <x:v>Regulatory Records</x:v>
      </x:c>
      <x:c r="F59" s="180" t="str">
        <x:v>510(k)</x:v>
      </x:c>
      <x:c r="G59" s="180" t="str">
        <x:v>Vial2Bag Advanced 13mm Admixture Device — FDA K230988</x:v>
      </x:c>
      <x:c r="H59" s="180" t="str">
        <x:v>Regulatory record</x:v>
      </x:c>
      <x:c r="I59" s="205" t="str">
        <x:v>K230988</x:v>
      </x:c>
      <x:c r="J59" s="180" t="str">
        <x:v>13mm</x:v>
      </x:c>
      <x:c r="K59" s="180" t="str"/>
      <x:c r="L59" s="180" t="str"/>
      <x:c r="M59" s="180" t="str"/>
      <x:c r="N59" s="180" t="str"/>
      <x:c r="O59" s="180" t="str"/>
      <x:c r="P59" s="180" t="str"/>
      <x:c r="Q59" s="180" t="str"/>
      <x:c r="R59" s="180" t="str">
        <x:v>United States</x:v>
      </x:c>
      <x:c r="S59" s="180" t="str">
        <x:v>FDA-cleared; commercial status separately verified on West site</x:v>
      </x:c>
      <x:c r="T59" s="180" t="str">
        <x:v>Active</x:v>
      </x:c>
      <x:c r="U59" s="180" t="str">
        <x:v>High</x:v>
      </x:c>
      <x:c r="V59" s="180" t="str">
        <x:v>FDA regulatory record verified</x:v>
      </x:c>
      <x:c r="W59" s="180" t="str">
        <x:v>FDA 510(k) database</x:v>
      </x:c>
      <x:c r="X59" s="180" t="str">
        <x:v>https://www.accessdata.fda.gov/scripts/cdrh/cfdocs/cfpmn/pmn.cfm?id=K230988</x:v>
      </x:c>
      <x:c r="Y59" s="199" t="n">
        <x:v>46224.942662037036</x:v>
      </x:c>
      <x:c r="Z59" s="199" t="n">
        <x:v>46224.942662037036</x:v>
      </x:c>
      <x:c r="AA59" s="180" t="n">
        <x:v>0</x:v>
      </x:c>
      <x:c r="AB59" s="180" t="n">
        <x:v>1</x:v>
      </x:c>
      <x:c r="AC59" s="180" t="str">
        <x:v>Public-source seed researched through 2026-07-21.</x:v>
      </x:c>
      <x:c r="AD59" s="186" t="str">
        <x:f>IF(OR(T59&lt;&gt;"Active",U59="Low",ISNUMBER(SEARCH("not publicly",V59)),ISNUMBER(SEARCH("review",T59))),"REVIEW","OK")</x:f>
        <x:v>OK</x:v>
      </x:c>
    </x:row>
    <x:row r="60">
      <x:c r="A60" s="185" t="str">
        <x:v>fp:a9f898d189778c905ac2</x:v>
      </x:c>
      <x:c r="B60" s="180" t="str">
        <x:v>Tech Group Europe Limited</x:v>
      </x:c>
      <x:c r="C60" s="180" t="str">
        <x:v>100%-owned subsidiary</x:v>
      </x:c>
      <x:c r="D60" s="180" t="str">
        <x:v>ERIS</x:v>
      </x:c>
      <x:c r="E60" s="180" t="str">
        <x:v>Safety Systems</x:v>
      </x:c>
      <x:c r="F60" s="180" t="str">
        <x:v>Syringe safety system</x:v>
      </x:c>
      <x:c r="G60" s="180" t="str">
        <x:v>ERIS Safety System for Prefilled Syringes</x:v>
      </x:c>
      <x:c r="H60" s="180" t="str">
        <x:v>Family</x:v>
      </x:c>
      <x:c r="I60" s="205" t="str"/>
      <x:c r="J60" s="180" t="str"/>
      <x:c r="K60" s="180" t="str"/>
      <x:c r="L60" s="180" t="str"/>
      <x:c r="M60" s="180" t="str"/>
      <x:c r="N60" s="180" t="str"/>
      <x:c r="O60" s="180" t="str"/>
      <x:c r="P60" s="180" t="str"/>
      <x:c r="Q60" s="180" t="str"/>
      <x:c r="R60" s="180" t="str">
        <x:v>Global / availability varies</x:v>
      </x:c>
      <x:c r="S60" s="180" t="str">
        <x:v>Contact West / account dependent</x:v>
      </x:c>
      <x:c r="T60" s="180" t="str">
        <x:v>Active</x:v>
      </x:c>
      <x:c r="U60" s="180" t="str">
        <x:v>High</x:v>
      </x:c>
      <x:c r="V60" s="180" t="str">
        <x:v>Facility product verified</x:v>
      </x:c>
      <x:c r="W60" s="180" t="str">
        <x:v>West France facility page</x:v>
      </x:c>
      <x:c r="X60" s="180" t="str">
        <x:v>https://careers.westpharma.com/content/France/?locale=en_US</x:v>
      </x:c>
      <x:c r="Y60" s="199" t="n">
        <x:v>46224.942662037036</x:v>
      </x:c>
      <x:c r="Z60" s="199" t="n">
        <x:v>46224.942662037036</x:v>
      </x:c>
      <x:c r="AA60" s="180" t="n">
        <x:v>0</x:v>
      </x:c>
      <x:c r="AB60" s="180" t="n">
        <x:v>1</x:v>
      </x:c>
      <x:c r="AC60" s="180" t="str">
        <x:v>Current facility page says the France site manufactures ERIS for pharmaceutical laboratories; not exposed in the main product navigation. Public-source seed researched through 2026-07-21.</x:v>
      </x:c>
      <x:c r="AD60" s="186" t="str">
        <x:f>IF(OR(T60&lt;&gt;"Active",U60="Low",ISNUMBER(SEARCH("not publicly",V60)),ISNUMBER(SEARCH("review",T60))),"REVIEW","OK")</x:f>
        <x:v>OK</x:v>
      </x:c>
    </x:row>
    <x:row r="61">
      <x:c r="A61" s="185" t="str">
        <x:v>fp:2d5217ff34903743bc63</x:v>
      </x:c>
      <x:c r="B61" s="180" t="str">
        <x:v>West Pharmaceutical Services France S.A. / West</x:v>
      </x:c>
      <x:c r="C61" s="180" t="str">
        <x:v>100%-owned subsidiary / parent brand</x:v>
      </x:c>
      <x:c r="D61" s="180" t="str">
        <x:v>NovaGuard</x:v>
      </x:c>
      <x:c r="E61" s="180" t="str">
        <x:v>Safety Systems</x:v>
      </x:c>
      <x:c r="F61" s="180" t="str">
        <x:v>Syringe safety system</x:v>
      </x:c>
      <x:c r="G61" s="180" t="str">
        <x:v>NovaGuard SA Pro Safety System</x:v>
      </x:c>
      <x:c r="H61" s="180" t="str">
        <x:v>Family</x:v>
      </x:c>
      <x:c r="I61" s="205" t="str"/>
      <x:c r="J61" s="180" t="str"/>
      <x:c r="K61" s="180" t="str"/>
      <x:c r="L61" s="180" t="str"/>
      <x:c r="M61" s="180" t="str"/>
      <x:c r="N61" s="180" t="str"/>
      <x:c r="O61" s="180" t="str"/>
      <x:c r="P61" s="180" t="str"/>
      <x:c r="Q61" s="180" t="str"/>
      <x:c r="R61" s="180" t="str">
        <x:v>Global / availability varies</x:v>
      </x:c>
      <x:c r="S61" s="180" t="str">
        <x:v>Contact West / account dependent</x:v>
      </x:c>
      <x:c r="T61" s="180" t="str">
        <x:v>Active</x:v>
      </x:c>
      <x:c r="U61" s="180" t="str">
        <x:v>High</x:v>
      </x:c>
      <x:c r="V61" s="180" t="str">
        <x:v>Facility product verified</x:v>
      </x:c>
      <x:c r="W61" s="180" t="str">
        <x:v>West France facility page</x:v>
      </x:c>
      <x:c r="X61" s="180" t="str">
        <x:v>https://careers.westpharma.com/content/France/?locale=en_US</x:v>
      </x:c>
      <x:c r="Y61" s="199" t="n">
        <x:v>46224.942662037036</x:v>
      </x:c>
      <x:c r="Z61" s="199" t="n">
        <x:v>46224.942662037036</x:v>
      </x:c>
      <x:c r="AA61" s="180" t="n">
        <x:v>0</x:v>
      </x:c>
      <x:c r="AB61" s="180" t="n">
        <x:v>1</x:v>
      </x:c>
      <x:c r="AC61" s="180" t="str">
        <x:v>Current facility page says the France site manufactures NovaGuard SA Pro; not exposed in the main product navigation. Public-source seed researched through 2026-07-21.</x:v>
      </x:c>
      <x:c r="AD61" s="186" t="str">
        <x:f>IF(OR(T61&lt;&gt;"Active",U61="Low",ISNUMBER(SEARCH("not publicly",V61)),ISNUMBER(SEARCH("review",T61))),"REVIEW","OK")</x:f>
        <x:v>OK</x:v>
      </x:c>
    </x:row>
    <x:row r="62">
      <x:c r="A62" s="185" t="str">
        <x:v>url:a6cb284148a957615868</x:v>
      </x:c>
      <x:c r="B62" s="180" t="str">
        <x:v>West Pharma. Services IL, Ltd.</x:v>
      </x:c>
      <x:c r="C62" s="180" t="str">
        <x:v>100%-owned subsidiary</x:v>
      </x:c>
      <x:c r="D62" s="180" t="str">
        <x:v>SmartDose</x:v>
      </x:c>
      <x:c r="E62" s="180" t="str">
        <x:v>Self-Injection Devices</x:v>
      </x:c>
      <x:c r="F62" s="180" t="str">
        <x:v>On-body delivery system</x:v>
      </x:c>
      <x:c r="G62" s="180" t="str">
        <x:v>SmartDose 10 On-Body Delivery System</x:v>
      </x:c>
      <x:c r="H62" s="180" t="str">
        <x:v>Family</x:v>
      </x:c>
      <x:c r="I62" s="205" t="str"/>
      <x:c r="J62" s="180" t="str">
        <x:v>Up to 10mL</x:v>
      </x:c>
      <x:c r="K62" s="180" t="str"/>
      <x:c r="L62" s="180" t="str"/>
      <x:c r="M62" s="180" t="str"/>
      <x:c r="N62" s="180" t="str"/>
      <x:c r="O62" s="180" t="str"/>
      <x:c r="P62" s="180" t="str"/>
      <x:c r="Q62" s="180" t="str"/>
      <x:c r="R62" s="180" t="str">
        <x:v>Global / availability varies</x:v>
      </x:c>
      <x:c r="S62" s="180" t="str">
        <x:v>Contact West / account dependent</x:v>
      </x:c>
      <x:c r="T62" s="180" t="str">
        <x:v>Active</x:v>
      </x:c>
      <x:c r="U62" s="180" t="str">
        <x:v>High</x:v>
      </x:c>
      <x:c r="V62" s="180" t="str">
        <x:v>Public family verified</x:v>
      </x:c>
      <x:c r="W62" s="180" t="str">
        <x:v>West official website</x:v>
      </x:c>
      <x:c r="X62" s="180" t="str">
        <x:v>https://www.westpharma.com/products/self-injection-platforms/10-large-volume-wearable-injector-device</x:v>
      </x:c>
      <x:c r="Y62" s="199" t="n">
        <x:v>46224.942662037036</x:v>
      </x:c>
      <x:c r="Z62" s="199" t="n">
        <x:v>46224.942662037036</x:v>
      </x:c>
      <x:c r="AA62" s="180" t="n">
        <x:v>0</x:v>
      </x:c>
      <x:c r="AB62" s="180" t="n">
        <x:v>1</x:v>
      </x:c>
      <x:c r="AC62" s="180" t="str">
        <x:v>West markets the platform as a multi-component system; commercial availability is customer/program specific. Public-source seed researched through 2026-07-21.</x:v>
      </x:c>
      <x:c r="AD62" s="186" t="str">
        <x:f>IF(OR(T62&lt;&gt;"Active",U62="Low",ISNUMBER(SEARCH("not publicly",V62)),ISNUMBER(SEARCH("review",T62))),"REVIEW","OK")</x:f>
        <x:v>OK</x:v>
      </x:c>
    </x:row>
    <x:row r="63">
      <x:c r="A63" s="185" t="str">
        <x:v>fp:61c94802cdb7cc85c281</x:v>
      </x:c>
      <x:c r="B63" s="180" t="str">
        <x:v>West Pharma. Services IL, Ltd.</x:v>
      </x:c>
      <x:c r="C63" s="180" t="str">
        <x:v>Former West platform</x:v>
      </x:c>
      <x:c r="D63" s="180" t="str">
        <x:v>SmartDose</x:v>
      </x:c>
      <x:c r="E63" s="180" t="str">
        <x:v>Self-Injection Devices</x:v>
      </x:c>
      <x:c r="F63" s="180" t="str">
        <x:v>On-body delivery system</x:v>
      </x:c>
      <x:c r="G63" s="180" t="str">
        <x:v>SmartDose 3.5mL On-Body Delivery System</x:v>
      </x:c>
      <x:c r="H63" s="180" t="str">
        <x:v>Family</x:v>
      </x:c>
      <x:c r="I63" s="205" t="str"/>
      <x:c r="J63" s="180" t="str">
        <x:v>3.5mL</x:v>
      </x:c>
      <x:c r="K63" s="180" t="str"/>
      <x:c r="L63" s="180" t="str"/>
      <x:c r="M63" s="180" t="str"/>
      <x:c r="N63" s="180" t="str"/>
      <x:c r="O63" s="180" t="str"/>
      <x:c r="P63" s="180" t="str"/>
      <x:c r="Q63" s="180" t="str"/>
      <x:c r="R63" s="180" t="str">
        <x:v>Global / availability varies</x:v>
      </x:c>
      <x:c r="S63" s="180" t="str">
        <x:v>No longer a West-manufactured platform after 2026-07 transfer</x:v>
      </x:c>
      <x:c r="T63" s="180" t="str">
        <x:v>Divested / rights transferred</x:v>
      </x:c>
      <x:c r="U63" s="180" t="str">
        <x:v>High</x:v>
      </x:c>
      <x:c r="V63" s="180" t="str">
        <x:v>Corporate action verified</x:v>
      </x:c>
      <x:c r="W63" s="180" t="str">
        <x:v>West investor release</x:v>
      </x:c>
      <x:c r="X63" s="180" t="str">
        <x:v>https://investor.westpharma.com/news-releases/news-release-details/west-completes-sale-and-transfer-manufacturing-and-supply-rights</x:v>
      </x:c>
      <x:c r="Y63" s="199" t="n">
        <x:v>46224.942662037036</x:v>
      </x:c>
      <x:c r="Z63" s="199" t="n">
        <x:v>46224.942662037036</x:v>
      </x:c>
      <x:c r="AA63" s="180" t="n">
        <x:v>0</x:v>
      </x:c>
      <x:c r="AB63" s="180" t="n">
        <x:v>1</x:v>
      </x:c>
      <x:c r="AC63" s="180" t="str">
        <x:v>West completed sale and transfer of manufacturing and supply rights in July 2026; retain in history so removal is not mistaken for a crawler failure. Public-source seed researched through 2026-07-21.</x:v>
      </x:c>
      <x:c r="AD63" s="186" t="str">
        <x:f>IF(OR(T63&lt;&gt;"Active",U63="Low",ISNUMBER(SEARCH("not publicly",V63)),ISNUMBER(SEARCH("review",T63))),"REVIEW","OK")</x:f>
        <x:v>REVIEW</x:v>
      </x:c>
    </x:row>
    <x:row r="64">
      <x:c r="A64" s="185" t="str">
        <x:v>url:2a33d299bede74ec8727</x:v>
      </x:c>
      <x:c r="B64" s="180" t="str">
        <x:v>West Pharmaceutical Services, Inc.</x:v>
      </x:c>
      <x:c r="C64" s="180" t="str">
        <x:v>Parent / consolidated</x:v>
      </x:c>
      <x:c r="D64" s="180" t="str">
        <x:v>SelfDose</x:v>
      </x:c>
      <x:c r="E64" s="180" t="str">
        <x:v>Self-Injection Devices</x:v>
      </x:c>
      <x:c r="F64" s="180" t="str">
        <x:v>Patient-controlled injector</x:v>
      </x:c>
      <x:c r="G64" s="180" t="str">
        <x:v>SelfDose Patient-Controlled Injector</x:v>
      </x:c>
      <x:c r="H64" s="180" t="str">
        <x:v>Family</x:v>
      </x:c>
      <x:c r="I64" s="205" t="str"/>
      <x:c r="J64" s="180" t="str"/>
      <x:c r="K64" s="180" t="str"/>
      <x:c r="L64" s="180" t="str"/>
      <x:c r="M64" s="180" t="str"/>
      <x:c r="N64" s="180" t="str"/>
      <x:c r="O64" s="180" t="str"/>
      <x:c r="P64" s="180" t="str"/>
      <x:c r="Q64" s="180" t="str"/>
      <x:c r="R64" s="180" t="str">
        <x:v>Global / availability varies</x:v>
      </x:c>
      <x:c r="S64" s="180" t="str">
        <x:v>Contact West / account dependent</x:v>
      </x:c>
      <x:c r="T64" s="180" t="str">
        <x:v>Active</x:v>
      </x:c>
      <x:c r="U64" s="180" t="str">
        <x:v>High</x:v>
      </x:c>
      <x:c r="V64" s="180" t="str">
        <x:v>Public family verified</x:v>
      </x:c>
      <x:c r="W64" s="180" t="str">
        <x:v>West official website</x:v>
      </x:c>
      <x:c r="X64" s="180" t="str">
        <x:v>https://www.westpharma.com/products/self-injection-platforms/selfdose</x:v>
      </x:c>
      <x:c r="Y64" s="199" t="n">
        <x:v>46224.942662037036</x:v>
      </x:c>
      <x:c r="Z64" s="199" t="n">
        <x:v>46224.942662037036</x:v>
      </x:c>
      <x:c r="AA64" s="180" t="n">
        <x:v>0</x:v>
      </x:c>
      <x:c r="AB64" s="180" t="n">
        <x:v>1</x:v>
      </x:c>
      <x:c r="AC64" s="180" t="str">
        <x:v>Off-the-shelf delivery-device platform designed for a prefilled glass syringe. Public-source seed researched through 2026-07-21.</x:v>
      </x:c>
      <x:c r="AD64" s="186" t="str">
        <x:f>IF(OR(T64&lt;&gt;"Active",U64="Low",ISNUMBER(SEARCH("not publicly",V64)),ISNUMBER(SEARCH("review",T64))),"REVIEW","OK")</x:f>
        <x:v>OK</x:v>
      </x:c>
    </x:row>
    <x:row r="65">
      <x:c r="A65" s="185" t="str">
        <x:v>url:ea3b05547a52b62afda2</x:v>
      </x:c>
      <x:c r="B65" s="180" t="str">
        <x:v>West Pharmaceutical Services, Inc.</x:v>
      </x:c>
      <x:c r="C65" s="180" t="str">
        <x:v>Parent / consolidated</x:v>
      </x:c>
      <x:c r="D65" s="180" t="str"/>
      <x:c r="E65" s="180" t="str">
        <x:v>Specialty Components</x:v>
      </x:c>
      <x:c r="F65" s="180" t="str">
        <x:v>Custom specialty solutions</x:v>
      </x:c>
      <x:c r="G65" s="180" t="str">
        <x:v>Custom Specialty Elastomer Components</x:v>
      </x:c>
      <x:c r="H65" s="180" t="str">
        <x:v>Family</x:v>
      </x:c>
      <x:c r="I65" s="205" t="str"/>
      <x:c r="J65" s="180" t="str"/>
      <x:c r="K65" s="180" t="str"/>
      <x:c r="L65" s="180" t="str"/>
      <x:c r="M65" s="180" t="str"/>
      <x:c r="N65" s="180" t="str"/>
      <x:c r="O65" s="180" t="str"/>
      <x:c r="P65" s="180" t="str"/>
      <x:c r="Q65" s="180" t="str"/>
      <x:c r="R65" s="180" t="str">
        <x:v>Global / availability varies</x:v>
      </x:c>
      <x:c r="S65" s="180" t="str">
        <x:v>Contact West / account dependent</x:v>
      </x:c>
      <x:c r="T65" s="180" t="str">
        <x:v>Active</x:v>
      </x:c>
      <x:c r="U65" s="180" t="str">
        <x:v>High</x:v>
      </x:c>
      <x:c r="V65" s="180" t="str">
        <x:v>Public family / custom capability verified</x:v>
      </x:c>
      <x:c r="W65" s="180" t="str">
        <x:v>West official website</x:v>
      </x:c>
      <x:c r="X65" s="180" t="str">
        <x:v>https://www.westpharma.com/products/specialty-components</x:v>
      </x:c>
      <x:c r="Y65" s="199" t="n">
        <x:v>46224.942662037036</x:v>
      </x:c>
      <x:c r="Z65" s="199" t="n">
        <x:v>46224.942662037036</x:v>
      </x:c>
      <x:c r="AA65" s="180" t="n">
        <x:v>0</x:v>
      </x:c>
      <x:c r="AB65" s="180" t="n">
        <x:v>1</x:v>
      </x:c>
      <x:c r="AC65" s="180" t="str">
        <x:v>Made to customer specification; public sources cannot enumerate every custom geometry. Public-source seed researched through 2026-07-21.</x:v>
      </x:c>
      <x:c r="AD65" s="186" t="str">
        <x:f>IF(OR(T65&lt;&gt;"Active",U65="Low",ISNUMBER(SEARCH("not publicly",V65)),ISNUMBER(SEARCH("review",T65))),"REVIEW","OK")</x:f>
        <x:v>OK</x:v>
      </x:c>
    </x:row>
    <x:row r="66">
      <x:c r="A66" s="185" t="str">
        <x:v>url:61d015f8fe84c7d8c41b</x:v>
      </x:c>
      <x:c r="B66" s="180" t="str">
        <x:v>West Pharmaceutical Services, Inc.</x:v>
      </x:c>
      <x:c r="C66" s="180" t="str">
        <x:v>Parent / consolidated</x:v>
      </x:c>
      <x:c r="D66" s="180" t="str"/>
      <x:c r="E66" s="180" t="str">
        <x:v>Specialty Components</x:v>
      </x:c>
      <x:c r="F66" s="180" t="str">
        <x:v>Specialty elastomer components</x:v>
      </x:c>
      <x:c r="G66" s="180" t="str">
        <x:v>Flashback Bulbs for IV Systems</x:v>
      </x:c>
      <x:c r="H66" s="180" t="str">
        <x:v>Family</x:v>
      </x:c>
      <x:c r="I66" s="205" t="str"/>
      <x:c r="J66" s="180" t="str"/>
      <x:c r="K66" s="180" t="str"/>
      <x:c r="L66" s="180" t="str"/>
      <x:c r="M66" s="180" t="str"/>
      <x:c r="N66" s="180" t="str"/>
      <x:c r="O66" s="180" t="str"/>
      <x:c r="P66" s="180" t="str"/>
      <x:c r="Q66" s="180" t="str"/>
      <x:c r="R66" s="180" t="str">
        <x:v>Global / availability varies</x:v>
      </x:c>
      <x:c r="S66" s="180" t="str">
        <x:v>Contact West / account dependent</x:v>
      </x:c>
      <x:c r="T66" s="180" t="str">
        <x:v>Active</x:v>
      </x:c>
      <x:c r="U66" s="180" t="str">
        <x:v>High</x:v>
      </x:c>
      <x:c r="V66" s="180" t="str">
        <x:v>Public family / custom capability verified</x:v>
      </x:c>
      <x:c r="W66" s="180" t="str">
        <x:v>West official website</x:v>
      </x:c>
      <x:c r="X66" s="180" t="str">
        <x:v>https://www.westpharma.com/products/specialty-components</x:v>
      </x:c>
      <x:c r="Y66" s="199" t="n">
        <x:v>46224.942662037036</x:v>
      </x:c>
      <x:c r="Z66" s="199" t="n">
        <x:v>46224.942662037036</x:v>
      </x:c>
      <x:c r="AA66" s="180" t="n">
        <x:v>0</x:v>
      </x:c>
      <x:c r="AB66" s="180" t="n">
        <x:v>1</x:v>
      </x:c>
      <x:c r="AC66" s="180" t="str">
        <x:v>Public current specialty-components page. Public-source seed researched through 2026-07-21.</x:v>
      </x:c>
      <x:c r="AD66" s="186" t="str">
        <x:f>IF(OR(T66&lt;&gt;"Active",U66="Low",ISNUMBER(SEARCH("not publicly",V66)),ISNUMBER(SEARCH("review",T66))),"REVIEW","OK")</x:f>
        <x:v>OK</x:v>
      </x:c>
    </x:row>
    <x:row r="67">
      <x:c r="A67" s="185" t="str">
        <x:v>url:a3b5658409815e5a4fc5</x:v>
      </x:c>
      <x:c r="B67" s="180" t="str">
        <x:v>West Pharmaceutical Services, Inc.</x:v>
      </x:c>
      <x:c r="C67" s="180" t="str">
        <x:v>Parent / consolidated</x:v>
      </x:c>
      <x:c r="D67" s="180" t="str"/>
      <x:c r="E67" s="180" t="str">
        <x:v>Specialty Components</x:v>
      </x:c>
      <x:c r="F67" s="180" t="str">
        <x:v>Specialty elastomer components</x:v>
      </x:c>
      <x:c r="G67" s="180" t="str">
        <x:v>Sleeve Stoppers for IV Systems</x:v>
      </x:c>
      <x:c r="H67" s="180" t="str">
        <x:v>Family</x:v>
      </x:c>
      <x:c r="I67" s="205" t="str"/>
      <x:c r="J67" s="180" t="str"/>
      <x:c r="K67" s="180" t="str"/>
      <x:c r="L67" s="180" t="str"/>
      <x:c r="M67" s="180" t="str"/>
      <x:c r="N67" s="180" t="str"/>
      <x:c r="O67" s="180" t="str"/>
      <x:c r="P67" s="180" t="str"/>
      <x:c r="Q67" s="180" t="str"/>
      <x:c r="R67" s="180" t="str">
        <x:v>Global / availability varies</x:v>
      </x:c>
      <x:c r="S67" s="180" t="str">
        <x:v>Contact West / account dependent</x:v>
      </x:c>
      <x:c r="T67" s="180" t="str">
        <x:v>Active</x:v>
      </x:c>
      <x:c r="U67" s="180" t="str">
        <x:v>High</x:v>
      </x:c>
      <x:c r="V67" s="180" t="str">
        <x:v>Public family / custom capability verified</x:v>
      </x:c>
      <x:c r="W67" s="180" t="str">
        <x:v>West official website</x:v>
      </x:c>
      <x:c r="X67" s="180" t="str">
        <x:v>https://www.westpharma.com/products/specialty-components</x:v>
      </x:c>
      <x:c r="Y67" s="199" t="n">
        <x:v>46224.942662037036</x:v>
      </x:c>
      <x:c r="Z67" s="199" t="n">
        <x:v>46224.942662037036</x:v>
      </x:c>
      <x:c r="AA67" s="180" t="n">
        <x:v>0</x:v>
      </x:c>
      <x:c r="AB67" s="180" t="n">
        <x:v>1</x:v>
      </x:c>
      <x:c r="AC67" s="180" t="str">
        <x:v>Public current specialty-components page. Public-source seed researched through 2026-07-21.</x:v>
      </x:c>
      <x:c r="AD67" s="186" t="str">
        <x:f>IF(OR(T67&lt;&gt;"Active",U67="Low",ISNUMBER(SEARCH("not publicly",V67)),ISNUMBER(SEARCH("review",T67))),"REVIEW","OK")</x:f>
        <x:v>OK</x:v>
      </x:c>
    </x:row>
    <x:row r="68">
      <x:c r="A68" s="185" t="str">
        <x:v>url:03518986dd8bdb007540</x:v>
      </x:c>
      <x:c r="B68" s="180" t="str">
        <x:v>West Pharmaceutical Services, Inc.</x:v>
      </x:c>
      <x:c r="C68" s="180" t="str">
        <x:v>Parent / consolidated</x:v>
      </x:c>
      <x:c r="D68" s="180" t="str">
        <x:v>NovaPure</x:v>
      </x:c>
      <x:c r="E68" s="180" t="str">
        <x:v>Vial Containment Solutions</x:v>
      </x:c>
      <x:c r="F68" s="180" t="str">
        <x:v>Integrated component platform</x:v>
      </x:c>
      <x:c r="G68" s="180" t="str">
        <x:v>NovaPure Components</x:v>
      </x:c>
      <x:c r="H68" s="180" t="str">
        <x:v>Family</x:v>
      </x:c>
      <x:c r="I68" s="205" t="str"/>
      <x:c r="J68" s="180" t="str"/>
      <x:c r="K68" s="180" t="str"/>
      <x:c r="L68" s="180" t="str"/>
      <x:c r="M68" s="180" t="str"/>
      <x:c r="N68" s="180" t="str"/>
      <x:c r="O68" s="180" t="str"/>
      <x:c r="P68" s="180" t="str"/>
      <x:c r="Q68" s="180" t="str"/>
      <x:c r="R68" s="180" t="str">
        <x:v>Global / availability varies</x:v>
      </x:c>
      <x:c r="S68" s="180" t="str">
        <x:v>Contact West / account dependent</x:v>
      </x:c>
      <x:c r="T68" s="180" t="str">
        <x:v>Active</x:v>
      </x:c>
      <x:c r="U68" s="180" t="str">
        <x:v>High</x:v>
      </x:c>
      <x:c r="V68" s="180" t="str">
        <x:v>Public family verified</x:v>
      </x:c>
      <x:c r="W68" s="180" t="str">
        <x:v>West official website</x:v>
      </x:c>
      <x:c r="X68" s="180" t="str">
        <x:v>https://www.westpharma.com/products/vial-containment-solutions/novapure-components</x:v>
      </x:c>
      <x:c r="Y68" s="199" t="n">
        <x:v>46224.942662037036</x:v>
      </x:c>
      <x:c r="Z68" s="199" t="n">
        <x:v>46224.942662037036</x:v>
      </x:c>
      <x:c r="AA68" s="180" t="n">
        <x:v>0</x:v>
      </x:c>
      <x:c r="AB68" s="180" t="n">
        <x:v>1</x:v>
      </x:c>
      <x:c r="AC68" s="180" t="str">
        <x:v>Public-source seed researched through 2026-07-21.</x:v>
      </x:c>
      <x:c r="AD68" s="186" t="str">
        <x:f>IF(OR(T68&lt;&gt;"Active",U68="Low",ISNUMBER(SEARCH("not publicly",V68)),ISNUMBER(SEARCH("review",T68))),"REVIEW","OK")</x:f>
        <x:v>OK</x:v>
      </x:c>
    </x:row>
    <x:row r="69">
      <x:c r="A69" s="185" t="str">
        <x:v>url:e76b78051366ba9fa165</x:v>
      </x:c>
      <x:c r="B69" s="180" t="str">
        <x:v>West Pharmaceutical Services, Inc.</x:v>
      </x:c>
      <x:c r="C69" s="180" t="str">
        <x:v>Parent / consolidated</x:v>
      </x:c>
      <x:c r="D69" s="180" t="str">
        <x:v>AccelTRA</x:v>
      </x:c>
      <x:c r="E69" s="180" t="str">
        <x:v>Vial Containment Solutions</x:v>
      </x:c>
      <x:c r="F69" s="180" t="str">
        <x:v>Rapid-supply stopper platform</x:v>
      </x:c>
      <x:c r="G69" s="180" t="str">
        <x:v>AccelTRA Offer</x:v>
      </x:c>
      <x:c r="H69" s="180" t="str">
        <x:v>Family</x:v>
      </x:c>
      <x:c r="I69" s="205" t="str"/>
      <x:c r="J69" s="180" t="str"/>
      <x:c r="K69" s="180" t="str"/>
      <x:c r="L69" s="180" t="str"/>
      <x:c r="M69" s="180" t="str"/>
      <x:c r="N69" s="180" t="str"/>
      <x:c r="O69" s="180" t="str"/>
      <x:c r="P69" s="180" t="str"/>
      <x:c r="Q69" s="180" t="str"/>
      <x:c r="R69" s="180" t="str">
        <x:v>Global / availability varies</x:v>
      </x:c>
      <x:c r="S69" s="180" t="str">
        <x:v>Contact West / account dependent</x:v>
      </x:c>
      <x:c r="T69" s="180" t="str">
        <x:v>Active</x:v>
      </x:c>
      <x:c r="U69" s="180" t="str">
        <x:v>High</x:v>
      </x:c>
      <x:c r="V69" s="180" t="str">
        <x:v>Public family verified</x:v>
      </x:c>
      <x:c r="W69" s="180" t="str">
        <x:v>West official website</x:v>
      </x:c>
      <x:c r="X69" s="180" t="str">
        <x:v>https://www.westpharma.com/products/vial-containment-solutions/acceltra-parenteral-drug-delivery-packaging-solutions</x:v>
      </x:c>
      <x:c r="Y69" s="199" t="n">
        <x:v>46224.942662037036</x:v>
      </x:c>
      <x:c r="Z69" s="199" t="n">
        <x:v>46224.942662037036</x:v>
      </x:c>
      <x:c r="AA69" s="180" t="n">
        <x:v>0</x:v>
      </x:c>
      <x:c r="AB69" s="180" t="n">
        <x:v>1</x:v>
      </x:c>
      <x:c r="AC69" s="180" t="str">
        <x:v>Public-source seed researched through 2026-07-21.</x:v>
      </x:c>
      <x:c r="AD69" s="186" t="str">
        <x:f>IF(OR(T69&lt;&gt;"Active",U69="Low",ISNUMBER(SEARCH("not publicly",V69)),ISNUMBER(SEARCH("review",T69))),"REVIEW","OK")</x:f>
        <x:v>OK</x:v>
      </x:c>
    </x:row>
    <x:row r="70">
      <x:c r="A70" s="185" t="str">
        <x:v>url:e631cc28a31333829be1</x:v>
      </x:c>
      <x:c r="B70" s="180" t="str">
        <x:v>West Pharmaceutical Services, Inc.</x:v>
      </x:c>
      <x:c r="C70" s="180" t="str">
        <x:v>Parent / consolidated</x:v>
      </x:c>
      <x:c r="D70" s="180" t="str">
        <x:v>Ready Pack</x:v>
      </x:c>
      <x:c r="E70" s="180" t="str">
        <x:v>Vial Containment Solutions</x:v>
      </x:c>
      <x:c r="F70" s="180" t="str">
        <x:v>Ready-to-use containment kits</x:v>
      </x:c>
      <x:c r="G70" s="180" t="str">
        <x:v>West Ready Pack Containment Solution</x:v>
      </x:c>
      <x:c r="H70" s="180" t="str">
        <x:v>Family</x:v>
      </x:c>
      <x:c r="I70" s="205" t="str"/>
      <x:c r="J70" s="180" t="str"/>
      <x:c r="K70" s="180" t="str"/>
      <x:c r="L70" s="180" t="str"/>
      <x:c r="M70" s="180" t="str"/>
      <x:c r="N70" s="180" t="str"/>
      <x:c r="O70" s="180" t="str"/>
      <x:c r="P70" s="180" t="str"/>
      <x:c r="Q70" s="180" t="str"/>
      <x:c r="R70" s="180" t="str">
        <x:v>Global / availability varies</x:v>
      </x:c>
      <x:c r="S70" s="180" t="str">
        <x:v>Contact West / account dependent</x:v>
      </x:c>
      <x:c r="T70" s="180" t="str">
        <x:v>Active</x:v>
      </x:c>
      <x:c r="U70" s="180" t="str">
        <x:v>High</x:v>
      </x:c>
      <x:c r="V70" s="180" t="str">
        <x:v>Public family verified</x:v>
      </x:c>
      <x:c r="W70" s="180" t="str">
        <x:v>West official website</x:v>
      </x:c>
      <x:c r="X70" s="180" t="str">
        <x:v>https://www.westpharma.com/products/vial-containment-solutions/ready-to-use-sterile-packaging</x:v>
      </x:c>
      <x:c r="Y70" s="199" t="n">
        <x:v>46224.942662037036</x:v>
      </x:c>
      <x:c r="Z70" s="199" t="n">
        <x:v>46224.942662037036</x:v>
      </x:c>
      <x:c r="AA70" s="180" t="n">
        <x:v>0</x:v>
      </x:c>
      <x:c r="AB70" s="180" t="n">
        <x:v>1</x:v>
      </x:c>
      <x:c r="AC70" s="180" t="str">
        <x:v>Public-source seed researched through 2026-07-21.</x:v>
      </x:c>
      <x:c r="AD70" s="186" t="str">
        <x:f>IF(OR(T70&lt;&gt;"Active",U70="Low",ISNUMBER(SEARCH("not publicly",V70)),ISNUMBER(SEARCH("review",T70))),"REVIEW","OK")</x:f>
        <x:v>OK</x:v>
      </x:c>
    </x:row>
    <x:row r="71">
      <x:c r="A71" s="185" t="str">
        <x:v>sku:100014445</x:v>
      </x:c>
      <x:c r="B71" s="180" t="str">
        <x:v>West Pharmaceutical Services, Inc.</x:v>
      </x:c>
      <x:c r="C71" s="180" t="str">
        <x:v>Parent / consolidated</x:v>
      </x:c>
      <x:c r="D71" s="180" t="str">
        <x:v>Flip-Off</x:v>
      </x:c>
      <x:c r="E71" s="180" t="str">
        <x:v>Vial Containment Solutions</x:v>
      </x:c>
      <x:c r="F71" s="180" t="str">
        <x:v>Seals</x:v>
      </x:c>
      <x:c r="G71" s="180" t="str">
        <x:v>13mm Flip-Off CCS Blue Seals 100 Pieces</x:v>
      </x:c>
      <x:c r="H71" s="180" t="str">
        <x:v>SKU</x:v>
      </x:c>
      <x:c r="I71" s="205" t="str">
        <x:v>100014445</x:v>
      </x:c>
      <x:c r="J71" s="180" t="str">
        <x:v>13mm</x:v>
      </x:c>
      <x:c r="K71" s="180" t="str">
        <x:v>13mm</x:v>
      </x:c>
      <x:c r="L71" s="180" t="str">
        <x:v>Blue button</x:v>
      </x:c>
      <x:c r="M71" s="180" t="str">
        <x:v>CCS</x:v>
      </x:c>
      <x:c r="N71" s="180" t="str"/>
      <x:c r="O71" s="180" t="str"/>
      <x:c r="P71" s="180" t="str"/>
      <x:c r="Q71" s="180" t="str"/>
      <x:c r="R71" s="180" t="str">
        <x:v>Global / availability varies</x:v>
      </x:c>
      <x:c r="S71" s="180" t="str">
        <x:v>Observed in public West online-store indexing; account availability may differ</x:v>
      </x:c>
      <x:c r="T71" s="180" t="str">
        <x:v>Active</x:v>
      </x:c>
      <x:c r="U71" s="180" t="str">
        <x:v>High</x:v>
      </x:c>
      <x:c r="V71" s="180" t="str">
        <x:v>Public store SKU verified</x:v>
      </x:c>
      <x:c r="W71" s="180" t="str">
        <x:v>West Online Store indexed product page</x:v>
      </x:c>
      <x:c r="X71" s="180" t="str">
        <x:v>https://www.westpharma.com/online-store/all-products</x:v>
      </x:c>
      <x:c r="Y71" s="199" t="n">
        <x:v>46224.942662037036</x:v>
      </x:c>
      <x:c r="Z71" s="199" t="n">
        <x:v>46224.942662037036</x:v>
      </x:c>
      <x:c r="AA71" s="180" t="n">
        <x:v>0</x:v>
      </x:c>
      <x:c r="AB71" s="180" t="n">
        <x:v>1</x:v>
      </x:c>
      <x:c r="AC71" s="180" t="str">
        <x:v>Exact product-detail URL should be refreshed by the Playwright crawler; duplicate item-number rows are deduplicated by canonical SKU key. Public-source seed researched through 2026-07-21.</x:v>
      </x:c>
      <x:c r="AD71" s="186" t="str">
        <x:f>IF(OR(T71&lt;&gt;"Active",U71="Low",ISNUMBER(SEARCH("not publicly",V71)),ISNUMBER(SEARCH("review",T71))),"REVIEW","OK")</x:f>
        <x:v>OK</x:v>
      </x:c>
    </x:row>
    <x:row r="72">
      <x:c r="A72" s="185" t="str">
        <x:v>sku:100014446</x:v>
      </x:c>
      <x:c r="B72" s="180" t="str">
        <x:v>West Pharmaceutical Services, Inc.</x:v>
      </x:c>
      <x:c r="C72" s="180" t="str">
        <x:v>Parent / consolidated</x:v>
      </x:c>
      <x:c r="D72" s="180" t="str">
        <x:v>Flip-Off</x:v>
      </x:c>
      <x:c r="E72" s="180" t="str">
        <x:v>Vial Containment Solutions</x:v>
      </x:c>
      <x:c r="F72" s="180" t="str">
        <x:v>Seals</x:v>
      </x:c>
      <x:c r="G72" s="180" t="str">
        <x:v>13mm Flip-Off CCS White Seals Small Pack</x:v>
      </x:c>
      <x:c r="H72" s="180" t="str">
        <x:v>SKU</x:v>
      </x:c>
      <x:c r="I72" s="205" t="str">
        <x:v>100014446</x:v>
      </x:c>
      <x:c r="J72" s="180" t="str">
        <x:v>13mm</x:v>
      </x:c>
      <x:c r="K72" s="180" t="str">
        <x:v>13mm</x:v>
      </x:c>
      <x:c r="L72" s="180" t="str">
        <x:v>White button</x:v>
      </x:c>
      <x:c r="M72" s="180" t="str">
        <x:v>CCS</x:v>
      </x:c>
      <x:c r="N72" s="180" t="str"/>
      <x:c r="O72" s="180" t="str"/>
      <x:c r="P72" s="180" t="str"/>
      <x:c r="Q72" s="180" t="str"/>
      <x:c r="R72" s="180" t="str">
        <x:v>Global / availability varies</x:v>
      </x:c>
      <x:c r="S72" s="180" t="str">
        <x:v>Observed in public West online-store indexing; account availability may differ</x:v>
      </x:c>
      <x:c r="T72" s="180" t="str">
        <x:v>Active</x:v>
      </x:c>
      <x:c r="U72" s="180" t="str">
        <x:v>High</x:v>
      </x:c>
      <x:c r="V72" s="180" t="str">
        <x:v>Public store SKU verified</x:v>
      </x:c>
      <x:c r="W72" s="180" t="str">
        <x:v>West Online Store indexed product page</x:v>
      </x:c>
      <x:c r="X72" s="180" t="str">
        <x:v>https://www.westpharma.com/online-store/all-products</x:v>
      </x:c>
      <x:c r="Y72" s="199" t="n">
        <x:v>46224.942662037036</x:v>
      </x:c>
      <x:c r="Z72" s="199" t="n">
        <x:v>46224.942662037036</x:v>
      </x:c>
      <x:c r="AA72" s="180" t="n">
        <x:v>0</x:v>
      </x:c>
      <x:c r="AB72" s="180" t="n">
        <x:v>1</x:v>
      </x:c>
      <x:c r="AC72" s="180" t="str">
        <x:v>Exact product-detail URL should be refreshed by the Playwright crawler; duplicate item-number rows are deduplicated by canonical SKU key. Public-source seed researched through 2026-07-21.</x:v>
      </x:c>
      <x:c r="AD72" s="186" t="str">
        <x:f>IF(OR(T72&lt;&gt;"Active",U72="Low",ISNUMBER(SEARCH("not publicly",V72)),ISNUMBER(SEARCH("review",T72))),"REVIEW","OK")</x:f>
        <x:v>OK</x:v>
      </x:c>
    </x:row>
    <x:row r="73">
      <x:c r="A73" s="185" t="str">
        <x:v>sku:54130506</x:v>
      </x:c>
      <x:c r="B73" s="180" t="str">
        <x:v>West Pharmaceutical Services, Inc.</x:v>
      </x:c>
      <x:c r="C73" s="180" t="str">
        <x:v>Parent / consolidated</x:v>
      </x:c>
      <x:c r="D73" s="180" t="str">
        <x:v>Flip-Off</x:v>
      </x:c>
      <x:c r="E73" s="180" t="str">
        <x:v>Vial Containment Solutions</x:v>
      </x:c>
      <x:c r="F73" s="180" t="str">
        <x:v>Seals</x:v>
      </x:c>
      <x:c r="G73" s="180" t="str">
        <x:v>13mm Flip-Off Violet Seals</x:v>
      </x:c>
      <x:c r="H73" s="180" t="str">
        <x:v>SKU</x:v>
      </x:c>
      <x:c r="I73" s="205" t="str">
        <x:v>54130506</x:v>
      </x:c>
      <x:c r="J73" s="180" t="str">
        <x:v>13mm</x:v>
      </x:c>
      <x:c r="K73" s="180" t="str">
        <x:v>13mm</x:v>
      </x:c>
      <x:c r="L73" s="180" t="str">
        <x:v>Violet button</x:v>
      </x:c>
      <x:c r="M73" s="180" t="str"/>
      <x:c r="N73" s="180" t="str"/>
      <x:c r="O73" s="180" t="str"/>
      <x:c r="P73" s="180" t="str"/>
      <x:c r="Q73" s="180" t="str"/>
      <x:c r="R73" s="180" t="str">
        <x:v>Global / availability varies</x:v>
      </x:c>
      <x:c r="S73" s="180" t="str">
        <x:v>Observed in public West online-store indexing; account availability may differ</x:v>
      </x:c>
      <x:c r="T73" s="180" t="str">
        <x:v>Active</x:v>
      </x:c>
      <x:c r="U73" s="180" t="str">
        <x:v>High</x:v>
      </x:c>
      <x:c r="V73" s="180" t="str">
        <x:v>Public store SKU verified</x:v>
      </x:c>
      <x:c r="W73" s="180" t="str">
        <x:v>West Online Store indexed product page</x:v>
      </x:c>
      <x:c r="X73" s="180" t="str">
        <x:v>https://www.westpharma.com/online-store/all-products</x:v>
      </x:c>
      <x:c r="Y73" s="199" t="n">
        <x:v>46224.942662037036</x:v>
      </x:c>
      <x:c r="Z73" s="199" t="n">
        <x:v>46224.942662037036</x:v>
      </x:c>
      <x:c r="AA73" s="180" t="n">
        <x:v>0</x:v>
      </x:c>
      <x:c r="AB73" s="180" t="n">
        <x:v>1</x:v>
      </x:c>
      <x:c r="AC73" s="180" t="str">
        <x:v>Exact product-detail URL should be refreshed by the Playwright crawler; duplicate item-number rows are deduplicated by canonical SKU key. Public-source seed researched through 2026-07-21.</x:v>
      </x:c>
      <x:c r="AD73" s="186" t="str">
        <x:f>IF(OR(T73&lt;&gt;"Active",U73="Low",ISNUMBER(SEARCH("not publicly",V73)),ISNUMBER(SEARCH("review",T73))),"REVIEW","OK")</x:f>
        <x:v>OK</x:v>
      </x:c>
    </x:row>
    <x:row r="74">
      <x:c r="A74" s="185" t="str">
        <x:v>sku:54131001</x:v>
      </x:c>
      <x:c r="B74" s="180" t="str">
        <x:v>West Pharmaceutical Services, Inc.</x:v>
      </x:c>
      <x:c r="C74" s="180" t="str">
        <x:v>Parent / consolidated</x:v>
      </x:c>
      <x:c r="D74" s="180" t="str">
        <x:v>Flip-Off</x:v>
      </x:c>
      <x:c r="E74" s="180" t="str">
        <x:v>Vial Containment Solutions</x:v>
      </x:c>
      <x:c r="F74" s="180" t="str">
        <x:v>Seals</x:v>
      </x:c>
      <x:c r="G74" s="180" t="str">
        <x:v>13mm Flip-Off White Seals</x:v>
      </x:c>
      <x:c r="H74" s="180" t="str">
        <x:v>SKU</x:v>
      </x:c>
      <x:c r="I74" s="205" t="str">
        <x:v>54131001</x:v>
      </x:c>
      <x:c r="J74" s="180" t="str">
        <x:v>13mm</x:v>
      </x:c>
      <x:c r="K74" s="180" t="str">
        <x:v>13mm</x:v>
      </x:c>
      <x:c r="L74" s="180" t="str">
        <x:v>White button</x:v>
      </x:c>
      <x:c r="M74" s="180" t="str"/>
      <x:c r="N74" s="180" t="str"/>
      <x:c r="O74" s="180" t="str"/>
      <x:c r="P74" s="180" t="str"/>
      <x:c r="Q74" s="180" t="str"/>
      <x:c r="R74" s="180" t="str">
        <x:v>Global / availability varies</x:v>
      </x:c>
      <x:c r="S74" s="180" t="str">
        <x:v>Observed in public West online-store indexing; account availability may differ</x:v>
      </x:c>
      <x:c r="T74" s="180" t="str">
        <x:v>Active</x:v>
      </x:c>
      <x:c r="U74" s="180" t="str">
        <x:v>High</x:v>
      </x:c>
      <x:c r="V74" s="180" t="str">
        <x:v>Public store SKU verified</x:v>
      </x:c>
      <x:c r="W74" s="180" t="str">
        <x:v>West Online Store indexed product page</x:v>
      </x:c>
      <x:c r="X74" s="180" t="str">
        <x:v>https://www.westpharma.com/online-store/all-products</x:v>
      </x:c>
      <x:c r="Y74" s="199" t="n">
        <x:v>46224.942662037036</x:v>
      </x:c>
      <x:c r="Z74" s="199" t="n">
        <x:v>46224.942662037036</x:v>
      </x:c>
      <x:c r="AA74" s="180" t="n">
        <x:v>0</x:v>
      </x:c>
      <x:c r="AB74" s="180" t="n">
        <x:v>1</x:v>
      </x:c>
      <x:c r="AC74" s="180" t="str">
        <x:v>Exact product-detail URL should be refreshed by the Playwright crawler; duplicate item-number rows are deduplicated by canonical SKU key. Public-source seed researched through 2026-07-21.</x:v>
      </x:c>
      <x:c r="AD74" s="186" t="str">
        <x:f>IF(OR(T74&lt;&gt;"Active",U74="Low",ISNUMBER(SEARCH("not publicly",V74)),ISNUMBER(SEARCH("review",T74))),"REVIEW","OK")</x:f>
        <x:v>OK</x:v>
      </x:c>
    </x:row>
    <x:row r="75">
      <x:c r="A75" s="185" t="str">
        <x:v>sku:54202053</x:v>
      </x:c>
      <x:c r="B75" s="180" t="str">
        <x:v>West Pharmaceutical Services, Inc.</x:v>
      </x:c>
      <x:c r="C75" s="180" t="str">
        <x:v>Parent / consolidated</x:v>
      </x:c>
      <x:c r="D75" s="180" t="str">
        <x:v>Flip-Off</x:v>
      </x:c>
      <x:c r="E75" s="180" t="str">
        <x:v>Vial Containment Solutions</x:v>
      </x:c>
      <x:c r="F75" s="180" t="str">
        <x:v>Seals</x:v>
      </x:c>
      <x:c r="G75" s="180" t="str">
        <x:v>20mm Flip-Off Gray Seals</x:v>
      </x:c>
      <x:c r="H75" s="180" t="str">
        <x:v>SKU</x:v>
      </x:c>
      <x:c r="I75" s="205" t="str">
        <x:v>54202053</x:v>
      </x:c>
      <x:c r="J75" s="180" t="str">
        <x:v>20mm</x:v>
      </x:c>
      <x:c r="K75" s="180" t="str">
        <x:v>20mm</x:v>
      </x:c>
      <x:c r="L75" s="180" t="str">
        <x:v>Gray button</x:v>
      </x:c>
      <x:c r="M75" s="180" t="str"/>
      <x:c r="N75" s="180" t="str"/>
      <x:c r="O75" s="180" t="str"/>
      <x:c r="P75" s="180" t="str"/>
      <x:c r="Q75" s="180" t="str"/>
      <x:c r="R75" s="180" t="str">
        <x:v>Global / availability varies</x:v>
      </x:c>
      <x:c r="S75" s="180" t="str">
        <x:v>Observed in public West online-store indexing; account availability may differ</x:v>
      </x:c>
      <x:c r="T75" s="180" t="str">
        <x:v>Active</x:v>
      </x:c>
      <x:c r="U75" s="180" t="str">
        <x:v>High</x:v>
      </x:c>
      <x:c r="V75" s="180" t="str">
        <x:v>Public store SKU verified</x:v>
      </x:c>
      <x:c r="W75" s="180" t="str">
        <x:v>West Online Store indexed product page</x:v>
      </x:c>
      <x:c r="X75" s="180" t="str">
        <x:v>https://www.westpharma.com/online-store/all-products</x:v>
      </x:c>
      <x:c r="Y75" s="199" t="n">
        <x:v>46224.942662037036</x:v>
      </x:c>
      <x:c r="Z75" s="199" t="n">
        <x:v>46224.942662037036</x:v>
      </x:c>
      <x:c r="AA75" s="180" t="n">
        <x:v>0</x:v>
      </x:c>
      <x:c r="AB75" s="180" t="n">
        <x:v>1</x:v>
      </x:c>
      <x:c r="AC75" s="180" t="str">
        <x:v>Exact product-detail URL should be refreshed by the Playwright crawler; duplicate item-number rows are deduplicated by canonical SKU key. Public-source seed researched through 2026-07-21.</x:v>
      </x:c>
      <x:c r="AD75" s="186" t="str">
        <x:f>IF(OR(T75&lt;&gt;"Active",U75="Low",ISNUMBER(SEARCH("not publicly",V75)),ISNUMBER(SEARCH("review",T75))),"REVIEW","OK")</x:f>
        <x:v>OK</x:v>
      </x:c>
    </x:row>
    <x:row r="76">
      <x:c r="A76" s="185" t="str">
        <x:v>sku:54202432</x:v>
      </x:c>
      <x:c r="B76" s="180" t="str">
        <x:v>West Pharmaceutical Services, Inc.</x:v>
      </x:c>
      <x:c r="C76" s="180" t="str">
        <x:v>Parent / consolidated</x:v>
      </x:c>
      <x:c r="D76" s="180" t="str">
        <x:v>Flip-Off</x:v>
      </x:c>
      <x:c r="E76" s="180" t="str">
        <x:v>Vial Containment Solutions</x:v>
      </x:c>
      <x:c r="F76" s="180" t="str">
        <x:v>Seals</x:v>
      </x:c>
      <x:c r="G76" s="180" t="str">
        <x:v>20mm Flip-Off Green Seals</x:v>
      </x:c>
      <x:c r="H76" s="180" t="str">
        <x:v>SKU</x:v>
      </x:c>
      <x:c r="I76" s="205" t="str">
        <x:v>54202432</x:v>
      </x:c>
      <x:c r="J76" s="180" t="str">
        <x:v>20mm</x:v>
      </x:c>
      <x:c r="K76" s="180" t="str">
        <x:v>20mm</x:v>
      </x:c>
      <x:c r="L76" s="180" t="str">
        <x:v>Green button</x:v>
      </x:c>
      <x:c r="M76" s="180" t="str"/>
      <x:c r="N76" s="180" t="str"/>
      <x:c r="O76" s="180" t="str"/>
      <x:c r="P76" s="180" t="str"/>
      <x:c r="Q76" s="180" t="str"/>
      <x:c r="R76" s="180" t="str">
        <x:v>Global / availability varies</x:v>
      </x:c>
      <x:c r="S76" s="180" t="str">
        <x:v>Observed in public West online-store indexing; account availability may differ</x:v>
      </x:c>
      <x:c r="T76" s="180" t="str">
        <x:v>Active</x:v>
      </x:c>
      <x:c r="U76" s="180" t="str">
        <x:v>High</x:v>
      </x:c>
      <x:c r="V76" s="180" t="str">
        <x:v>Public store SKU verified</x:v>
      </x:c>
      <x:c r="W76" s="180" t="str">
        <x:v>West Online Store indexed product page</x:v>
      </x:c>
      <x:c r="X76" s="180" t="str">
        <x:v>https://www.westpharma.com/online-store/all-products</x:v>
      </x:c>
      <x:c r="Y76" s="199" t="n">
        <x:v>46224.942662037036</x:v>
      </x:c>
      <x:c r="Z76" s="199" t="n">
        <x:v>46224.942662037036</x:v>
      </x:c>
      <x:c r="AA76" s="180" t="n">
        <x:v>0</x:v>
      </x:c>
      <x:c r="AB76" s="180" t="n">
        <x:v>1</x:v>
      </x:c>
      <x:c r="AC76" s="180" t="str">
        <x:v>Exact product-detail URL should be refreshed by the Playwright crawler; duplicate item-number rows are deduplicated by canonical SKU key. Public-source seed researched through 2026-07-21.</x:v>
      </x:c>
      <x:c r="AD76" s="186" t="str">
        <x:f>IF(OR(T76&lt;&gt;"Active",U76="Low",ISNUMBER(SEARCH("not publicly",V76)),ISNUMBER(SEARCH("review",T76))),"REVIEW","OK")</x:f>
        <x:v>OK</x:v>
      </x:c>
    </x:row>
    <x:row r="77">
      <x:c r="A77" s="185" t="str">
        <x:v>sku:59221128</x:v>
      </x:c>
      <x:c r="B77" s="180" t="str">
        <x:v>West Pharmaceutical Services, Inc.</x:v>
      </x:c>
      <x:c r="C77" s="180" t="str">
        <x:v>Parent / consolidated</x:v>
      </x:c>
      <x:c r="D77" s="180" t="str">
        <x:v>Flip-Off</x:v>
      </x:c>
      <x:c r="E77" s="180" t="str">
        <x:v>Vial Containment Solutions</x:v>
      </x:c>
      <x:c r="F77" s="180" t="str">
        <x:v>Seals</x:v>
      </x:c>
      <x:c r="G77" s="180" t="str">
        <x:v>Flip-Off CCS Seal 13mm Blue</x:v>
      </x:c>
      <x:c r="H77" s="180" t="str">
        <x:v>SKU</x:v>
      </x:c>
      <x:c r="I77" s="205" t="str">
        <x:v>5922-1128</x:v>
      </x:c>
      <x:c r="J77" s="180" t="str"/>
      <x:c r="K77" s="180" t="str">
        <x:v>13mm</x:v>
      </x:c>
      <x:c r="L77" s="180" t="str"/>
      <x:c r="M77" s="180" t="str">
        <x:v>Clean, certified, sterilized</x:v>
      </x:c>
      <x:c r="N77" s="180" t="str"/>
      <x:c r="O77" s="180" t="str"/>
      <x:c r="P77" s="180" t="str">
        <x:v>3 polyethylene bags</x:v>
      </x:c>
      <x:c r="Q77" s="180" t="str">
        <x:v>1,000 seals</x:v>
      </x:c>
      <x:c r="R77" s="180" t="str">
        <x:v>Global / availability varies</x:v>
      </x:c>
      <x:c r="S77" s="180" t="str">
        <x:v>Publicly documented ready-to-use item</x:v>
      </x:c>
      <x:c r="T77" s="180" t="str">
        <x:v>Active</x:v>
      </x:c>
      <x:c r="U77" s="180" t="str">
        <x:v>High</x:v>
      </x:c>
      <x:c r="V77" s="180" t="str">
        <x:v>Official PDF SKU verified</x:v>
      </x:c>
      <x:c r="W77" s="180" t="str">
        <x:v>West compounding pharmacy information sheet</x:v>
      </x:c>
      <x:c r="X77" s="180" t="str">
        <x:v>https://westpharma.com/-/media/WestPharma/Files/Products/Compounding-Pharmacy-information-sheet.pdf</x:v>
      </x:c>
      <x:c r="Y77" s="199" t="n">
        <x:v>46224.942662037036</x:v>
      </x:c>
      <x:c r="Z77" s="199" t="n">
        <x:v>46224.942662037036</x:v>
      </x:c>
      <x:c r="AA77" s="180" t="n">
        <x:v>0</x:v>
      </x:c>
      <x:c r="AB77" s="180" t="n">
        <x:v>1</x:v>
      </x:c>
      <x:c r="AC77" s="180" t="str">
        <x:v>Public-source seed researched through 2026-07-21.</x:v>
      </x:c>
      <x:c r="AD77" s="186" t="str">
        <x:f>IF(OR(T77&lt;&gt;"Active",U77="Low",ISNUMBER(SEARCH("not publicly",V77)),ISNUMBER(SEARCH("review",T77))),"REVIEW","OK")</x:f>
        <x:v>OK</x:v>
      </x:c>
    </x:row>
    <x:row r="78">
      <x:c r="A78" s="185" t="str">
        <x:v>sku:59221125</x:v>
      </x:c>
      <x:c r="B78" s="180" t="str">
        <x:v>West Pharmaceutical Services, Inc.</x:v>
      </x:c>
      <x:c r="C78" s="180" t="str">
        <x:v>Parent / consolidated</x:v>
      </x:c>
      <x:c r="D78" s="180" t="str">
        <x:v>Flip-Off</x:v>
      </x:c>
      <x:c r="E78" s="180" t="str">
        <x:v>Vial Containment Solutions</x:v>
      </x:c>
      <x:c r="F78" s="180" t="str">
        <x:v>Seals</x:v>
      </x:c>
      <x:c r="G78" s="180" t="str">
        <x:v>Flip-Off CCS Seal 13mm Red</x:v>
      </x:c>
      <x:c r="H78" s="180" t="str">
        <x:v>SKU</x:v>
      </x:c>
      <x:c r="I78" s="205" t="str">
        <x:v>5922-1125</x:v>
      </x:c>
      <x:c r="J78" s="180" t="str"/>
      <x:c r="K78" s="180" t="str">
        <x:v>13mm</x:v>
      </x:c>
      <x:c r="L78" s="180" t="str"/>
      <x:c r="M78" s="180" t="str">
        <x:v>Clean, certified, sterilized</x:v>
      </x:c>
      <x:c r="N78" s="180" t="str"/>
      <x:c r="O78" s="180" t="str"/>
      <x:c r="P78" s="180" t="str">
        <x:v>3 polyethylene bags</x:v>
      </x:c>
      <x:c r="Q78" s="180" t="str">
        <x:v>1,000 seals</x:v>
      </x:c>
      <x:c r="R78" s="180" t="str">
        <x:v>Global / availability varies</x:v>
      </x:c>
      <x:c r="S78" s="180" t="str">
        <x:v>Publicly documented ready-to-use item</x:v>
      </x:c>
      <x:c r="T78" s="180" t="str">
        <x:v>Active</x:v>
      </x:c>
      <x:c r="U78" s="180" t="str">
        <x:v>High</x:v>
      </x:c>
      <x:c r="V78" s="180" t="str">
        <x:v>Official PDF SKU verified</x:v>
      </x:c>
      <x:c r="W78" s="180" t="str">
        <x:v>West compounding pharmacy information sheet | West Online Store indexed product page</x:v>
      </x:c>
      <x:c r="X78" s="180" t="str">
        <x:v>https://westpharma.com/-/media/WestPharma/Files/Products/Compounding-Pharmacy-information-sheet.pdf</x:v>
      </x:c>
      <x:c r="Y78" s="199" t="n">
        <x:v>46224.942662037036</x:v>
      </x:c>
      <x:c r="Z78" s="199" t="n">
        <x:v>46224.942662037036</x:v>
      </x:c>
      <x:c r="AA78" s="180" t="n">
        <x:v>0</x:v>
      </x:c>
      <x:c r="AB78" s="180" t="n">
        <x:v>1</x:v>
      </x:c>
      <x:c r="AC78" s="180" t="str">
        <x:v>Public-source seed researched through 2026-07-21. Exact product-detail URL should be refreshed by the Playwright crawler; duplicate item-number rows are deduplicated by canonical SKU key. Public-source seed researched through 2026-07-21.</x:v>
      </x:c>
      <x:c r="AD78" s="186" t="str">
        <x:f>IF(OR(T78&lt;&gt;"Active",U78="Low",ISNUMBER(SEARCH("not publicly",V78)),ISNUMBER(SEARCH("review",T78))),"REVIEW","OK")</x:f>
        <x:v>OK</x:v>
      </x:c>
    </x:row>
    <x:row r="79">
      <x:c r="A79" s="185" t="str">
        <x:v>sku:59221120</x:v>
      </x:c>
      <x:c r="B79" s="180" t="str">
        <x:v>West Pharmaceutical Services, Inc.</x:v>
      </x:c>
      <x:c r="C79" s="180" t="str">
        <x:v>Parent / consolidated</x:v>
      </x:c>
      <x:c r="D79" s="180" t="str">
        <x:v>Flip-Off</x:v>
      </x:c>
      <x:c r="E79" s="180" t="str">
        <x:v>Vial Containment Solutions</x:v>
      </x:c>
      <x:c r="F79" s="180" t="str">
        <x:v>Seals</x:v>
      </x:c>
      <x:c r="G79" s="180" t="str">
        <x:v>Flip-Off CCS Seal 13mm White</x:v>
      </x:c>
      <x:c r="H79" s="180" t="str">
        <x:v>SKU</x:v>
      </x:c>
      <x:c r="I79" s="205" t="str">
        <x:v>5922-1120</x:v>
      </x:c>
      <x:c r="J79" s="180" t="str"/>
      <x:c r="K79" s="180" t="str">
        <x:v>13mm</x:v>
      </x:c>
      <x:c r="L79" s="180" t="str"/>
      <x:c r="M79" s="180" t="str">
        <x:v>Clean, certified, sterilized</x:v>
      </x:c>
      <x:c r="N79" s="180" t="str"/>
      <x:c r="O79" s="180" t="str"/>
      <x:c r="P79" s="180" t="str">
        <x:v>3 polyethylene bags</x:v>
      </x:c>
      <x:c r="Q79" s="180" t="str">
        <x:v>1,000 seals</x:v>
      </x:c>
      <x:c r="R79" s="180" t="str">
        <x:v>Global / availability varies</x:v>
      </x:c>
      <x:c r="S79" s="180" t="str">
        <x:v>Publicly documented ready-to-use item</x:v>
      </x:c>
      <x:c r="T79" s="180" t="str">
        <x:v>Active</x:v>
      </x:c>
      <x:c r="U79" s="180" t="str">
        <x:v>High</x:v>
      </x:c>
      <x:c r="V79" s="180" t="str">
        <x:v>Official PDF SKU verified</x:v>
      </x:c>
      <x:c r="W79" s="180" t="str">
        <x:v>West compounding pharmacy information sheet | West Online Store indexed product page | West Online Store indexed product page</x:v>
      </x:c>
      <x:c r="X79" s="180" t="str">
        <x:v>https://westpharma.com/-/media/WestPharma/Files/Products/Compounding-Pharmacy-information-sheet.pdf</x:v>
      </x:c>
      <x:c r="Y79" s="199" t="n">
        <x:v>46224.942662037036</x:v>
      </x:c>
      <x:c r="Z79" s="199" t="n">
        <x:v>46224.942662037036</x:v>
      </x:c>
      <x:c r="AA79" s="180" t="n">
        <x:v>0</x:v>
      </x:c>
      <x:c r="AB79" s="180" t="n">
        <x:v>1</x:v>
      </x:c>
      <x:c r="AC79" s="180" t="str">
        <x:v>Public-source seed researched through 2026-07-21. Exact product-detail URL should be refreshed by the Playwright crawler; duplicate item-number rows are deduplicated by canonical SKU key. Public-source seed researched through 2026-07-21. Exact product-detail URL should be refreshed by the Playwright crawler; duplicate item-number rows are deduplicated by canonical SKU key. Public-source seed researched through 2026-07-21.</x:v>
      </x:c>
      <x:c r="AD79" s="186" t="str">
        <x:f>IF(OR(T79&lt;&gt;"Active",U79="Low",ISNUMBER(SEARCH("not publicly",V79)),ISNUMBER(SEARCH("review",T79))),"REVIEW","OK")</x:f>
        <x:v>OK</x:v>
      </x:c>
    </x:row>
    <x:row r="80">
      <x:c r="A80" s="185" t="str">
        <x:v>sku:59221127</x:v>
      </x:c>
      <x:c r="B80" s="180" t="str">
        <x:v>West Pharmaceutical Services, Inc.</x:v>
      </x:c>
      <x:c r="C80" s="180" t="str">
        <x:v>Parent / consolidated</x:v>
      </x:c>
      <x:c r="D80" s="180" t="str">
        <x:v>Flip-Off</x:v>
      </x:c>
      <x:c r="E80" s="180" t="str">
        <x:v>Vial Containment Solutions</x:v>
      </x:c>
      <x:c r="F80" s="180" t="str">
        <x:v>Seals</x:v>
      </x:c>
      <x:c r="G80" s="180" t="str">
        <x:v>Flip-Off CCS Seal 20mm Blue</x:v>
      </x:c>
      <x:c r="H80" s="180" t="str">
        <x:v>SKU</x:v>
      </x:c>
      <x:c r="I80" s="205" t="str">
        <x:v>5922-1127</x:v>
      </x:c>
      <x:c r="J80" s="180" t="str"/>
      <x:c r="K80" s="180" t="str">
        <x:v>20mm</x:v>
      </x:c>
      <x:c r="L80" s="180" t="str"/>
      <x:c r="M80" s="180" t="str">
        <x:v>Clean, certified, sterilized</x:v>
      </x:c>
      <x:c r="N80" s="180" t="str"/>
      <x:c r="O80" s="180" t="str"/>
      <x:c r="P80" s="180" t="str">
        <x:v>Double STERILizableBAG</x:v>
      </x:c>
      <x:c r="Q80" s="180" t="str">
        <x:v>500 pieces</x:v>
      </x:c>
      <x:c r="R80" s="180" t="str">
        <x:v>Global / availability varies</x:v>
      </x:c>
      <x:c r="S80" s="180" t="str">
        <x:v>Publicly documented ready-to-use item</x:v>
      </x:c>
      <x:c r="T80" s="180" t="str">
        <x:v>Active</x:v>
      </x:c>
      <x:c r="U80" s="180" t="str">
        <x:v>High</x:v>
      </x:c>
      <x:c r="V80" s="180" t="str">
        <x:v>Official PDF SKU verified</x:v>
      </x:c>
      <x:c r="W80" s="180" t="str">
        <x:v>West compounding pharmacy information sheet | West Online Store indexed product page</x:v>
      </x:c>
      <x:c r="X80" s="180" t="str">
        <x:v>https://westpharma.com/-/media/WestPharma/Files/Products/Compounding-Pharmacy-information-sheet.pdf</x:v>
      </x:c>
      <x:c r="Y80" s="199" t="n">
        <x:v>46224.942662037036</x:v>
      </x:c>
      <x:c r="Z80" s="199" t="n">
        <x:v>46224.942662037036</x:v>
      </x:c>
      <x:c r="AA80" s="180" t="n">
        <x:v>0</x:v>
      </x:c>
      <x:c r="AB80" s="180" t="n">
        <x:v>1</x:v>
      </x:c>
      <x:c r="AC80" s="180" t="str">
        <x:v>Public-source seed researched through 2026-07-21. Exact product-detail URL should be refreshed by the Playwright crawler; duplicate item-number rows are deduplicated by canonical SKU key. Public-source seed researched through 2026-07-21.</x:v>
      </x:c>
      <x:c r="AD80" s="186" t="str">
        <x:f>IF(OR(T80&lt;&gt;"Active",U80="Low",ISNUMBER(SEARCH("not publicly",V80)),ISNUMBER(SEARCH("review",T80))),"REVIEW","OK")</x:f>
        <x:v>OK</x:v>
      </x:c>
    </x:row>
    <x:row r="81">
      <x:c r="A81" s="185" t="str">
        <x:v>sku:59221143</x:v>
      </x:c>
      <x:c r="B81" s="180" t="str">
        <x:v>West Pharmaceutical Services, Inc.</x:v>
      </x:c>
      <x:c r="C81" s="180" t="str">
        <x:v>Parent / consolidated</x:v>
      </x:c>
      <x:c r="D81" s="180" t="str">
        <x:v>Flip-Off</x:v>
      </x:c>
      <x:c r="E81" s="180" t="str">
        <x:v>Vial Containment Solutions</x:v>
      </x:c>
      <x:c r="F81" s="180" t="str">
        <x:v>Seals</x:v>
      </x:c>
      <x:c r="G81" s="180" t="str">
        <x:v>Flip-Off CCS Seal 20mm Red</x:v>
      </x:c>
      <x:c r="H81" s="180" t="str">
        <x:v>SKU</x:v>
      </x:c>
      <x:c r="I81" s="205" t="str">
        <x:v>5922-1143</x:v>
      </x:c>
      <x:c r="J81" s="180" t="str"/>
      <x:c r="K81" s="180" t="str">
        <x:v>20mm</x:v>
      </x:c>
      <x:c r="L81" s="180" t="str"/>
      <x:c r="M81" s="180" t="str">
        <x:v>Clean, certified, sterilized</x:v>
      </x:c>
      <x:c r="N81" s="180" t="str"/>
      <x:c r="O81" s="180" t="str"/>
      <x:c r="P81" s="180" t="str">
        <x:v>Double STERILizableBAG</x:v>
      </x:c>
      <x:c r="Q81" s="180" t="str">
        <x:v>500 pieces</x:v>
      </x:c>
      <x:c r="R81" s="180" t="str">
        <x:v>Global / availability varies</x:v>
      </x:c>
      <x:c r="S81" s="180" t="str">
        <x:v>Publicly documented ready-to-use item</x:v>
      </x:c>
      <x:c r="T81" s="180" t="str">
        <x:v>Active</x:v>
      </x:c>
      <x:c r="U81" s="180" t="str">
        <x:v>High</x:v>
      </x:c>
      <x:c r="V81" s="180" t="str">
        <x:v>Official PDF SKU verified</x:v>
      </x:c>
      <x:c r="W81" s="180" t="str">
        <x:v>West compounding pharmacy information sheet</x:v>
      </x:c>
      <x:c r="X81" s="180" t="str">
        <x:v>https://westpharma.com/-/media/WestPharma/Files/Products/Compounding-Pharmacy-information-sheet.pdf</x:v>
      </x:c>
      <x:c r="Y81" s="199" t="n">
        <x:v>46224.942662037036</x:v>
      </x:c>
      <x:c r="Z81" s="199" t="n">
        <x:v>46224.942662037036</x:v>
      </x:c>
      <x:c r="AA81" s="180" t="n">
        <x:v>0</x:v>
      </x:c>
      <x:c r="AB81" s="180" t="n">
        <x:v>1</x:v>
      </x:c>
      <x:c r="AC81" s="180" t="str">
        <x:v>Public-source seed researched through 2026-07-21.</x:v>
      </x:c>
      <x:c r="AD81" s="186" t="str">
        <x:f>IF(OR(T81&lt;&gt;"Active",U81="Low",ISNUMBER(SEARCH("not publicly",V81)),ISNUMBER(SEARCH("review",T81))),"REVIEW","OK")</x:f>
        <x:v>OK</x:v>
      </x:c>
    </x:row>
    <x:row r="82">
      <x:c r="A82" s="185" t="str">
        <x:v>sku:59221141</x:v>
      </x:c>
      <x:c r="B82" s="180" t="str">
        <x:v>West Pharmaceutical Services, Inc.</x:v>
      </x:c>
      <x:c r="C82" s="180" t="str">
        <x:v>Parent / consolidated</x:v>
      </x:c>
      <x:c r="D82" s="180" t="str">
        <x:v>Flip-Off</x:v>
      </x:c>
      <x:c r="E82" s="180" t="str">
        <x:v>Vial Containment Solutions</x:v>
      </x:c>
      <x:c r="F82" s="180" t="str">
        <x:v>Seals</x:v>
      </x:c>
      <x:c r="G82" s="180" t="str">
        <x:v>Flip-Off CCS Seal 20mm White</x:v>
      </x:c>
      <x:c r="H82" s="180" t="str">
        <x:v>SKU</x:v>
      </x:c>
      <x:c r="I82" s="205" t="str">
        <x:v>5922-1141</x:v>
      </x:c>
      <x:c r="J82" s="180" t="str"/>
      <x:c r="K82" s="180" t="str">
        <x:v>20mm</x:v>
      </x:c>
      <x:c r="L82" s="180" t="str"/>
      <x:c r="M82" s="180" t="str">
        <x:v>Clean, certified, sterilized</x:v>
      </x:c>
      <x:c r="N82" s="180" t="str"/>
      <x:c r="O82" s="180" t="str"/>
      <x:c r="P82" s="180" t="str">
        <x:v>Double STERILizableBAG</x:v>
      </x:c>
      <x:c r="Q82" s="180" t="str">
        <x:v>500 pieces</x:v>
      </x:c>
      <x:c r="R82" s="180" t="str">
        <x:v>Global / availability varies</x:v>
      </x:c>
      <x:c r="S82" s="180" t="str">
        <x:v>Publicly documented ready-to-use item</x:v>
      </x:c>
      <x:c r="T82" s="180" t="str">
        <x:v>Active</x:v>
      </x:c>
      <x:c r="U82" s="180" t="str">
        <x:v>High</x:v>
      </x:c>
      <x:c r="V82" s="180" t="str">
        <x:v>Official PDF SKU verified</x:v>
      </x:c>
      <x:c r="W82" s="180" t="str">
        <x:v>West compounding pharmacy information sheet | West Online Store indexed product page</x:v>
      </x:c>
      <x:c r="X82" s="180" t="str">
        <x:v>https://westpharma.com/-/media/WestPharma/Files/Products/Compounding-Pharmacy-information-sheet.pdf</x:v>
      </x:c>
      <x:c r="Y82" s="199" t="n">
        <x:v>46224.942662037036</x:v>
      </x:c>
      <x:c r="Z82" s="199" t="n">
        <x:v>46224.942662037036</x:v>
      </x:c>
      <x:c r="AA82" s="180" t="n">
        <x:v>0</x:v>
      </x:c>
      <x:c r="AB82" s="180" t="n">
        <x:v>1</x:v>
      </x:c>
      <x:c r="AC82" s="180" t="str">
        <x:v>Public-source seed researched through 2026-07-21. Exact product-detail URL should be refreshed by the Playwright crawler; duplicate item-number rows are deduplicated by canonical SKU key. Public-source seed researched through 2026-07-21.</x:v>
      </x:c>
      <x:c r="AD82" s="186" t="str">
        <x:f>IF(OR(T82&lt;&gt;"Active",U82="Low",ISNUMBER(SEARCH("not publicly",V82)),ISNUMBER(SEARCH("review",T82))),"REVIEW","OK")</x:f>
        <x:v>OK</x:v>
      </x:c>
    </x:row>
    <x:row r="83">
      <x:c r="A83" s="185" t="str">
        <x:v>url:42f526ebe00bef4ccd21</x:v>
      </x:c>
      <x:c r="B83" s="180" t="str">
        <x:v>West Pharmaceutical Services, Inc.</x:v>
      </x:c>
      <x:c r="C83" s="180" t="str">
        <x:v>Parent / consolidated</x:v>
      </x:c>
      <x:c r="D83" s="180" t="str">
        <x:v>Flip-Off</x:v>
      </x:c>
      <x:c r="E83" s="180" t="str">
        <x:v>Vial Containment Solutions</x:v>
      </x:c>
      <x:c r="F83" s="180" t="str">
        <x:v>Seals</x:v>
      </x:c>
      <x:c r="G83" s="180" t="str">
        <x:v>Flip-Off CCS Seals</x:v>
      </x:c>
      <x:c r="H83" s="180" t="str">
        <x:v>Family</x:v>
      </x:c>
      <x:c r="I83" s="205" t="str"/>
      <x:c r="J83" s="180" t="str"/>
      <x:c r="K83" s="180" t="str"/>
      <x:c r="L83" s="180" t="str"/>
      <x:c r="M83" s="180" t="str"/>
      <x:c r="N83" s="180" t="str"/>
      <x:c r="O83" s="180" t="str"/>
      <x:c r="P83" s="180" t="str"/>
      <x:c r="Q83" s="180" t="str"/>
      <x:c r="R83" s="180" t="str">
        <x:v>Global / availability varies</x:v>
      </x:c>
      <x:c r="S83" s="180" t="str">
        <x:v>Contact West / account dependent</x:v>
      </x:c>
      <x:c r="T83" s="180" t="str">
        <x:v>Active</x:v>
      </x:c>
      <x:c r="U83" s="180" t="str">
        <x:v>High</x:v>
      </x:c>
      <x:c r="V83" s="180" t="str">
        <x:v>Public family verified</x:v>
      </x:c>
      <x:c r="W83" s="180" t="str">
        <x:v>West official website</x:v>
      </x:c>
      <x:c r="X83" s="180" t="str">
        <x:v>https://www.westpharma.com/products/vial-containment-solutions/seals</x:v>
      </x:c>
      <x:c r="Y83" s="199" t="n">
        <x:v>46224.942662037036</x:v>
      </x:c>
      <x:c r="Z83" s="199" t="n">
        <x:v>46224.942662037036</x:v>
      </x:c>
      <x:c r="AA83" s="180" t="n">
        <x:v>0</x:v>
      </x:c>
      <x:c r="AB83" s="180" t="n">
        <x:v>1</x:v>
      </x:c>
      <x:c r="AC83" s="180" t="str">
        <x:v>Public-source seed researched through 2026-07-21.</x:v>
      </x:c>
      <x:c r="AD83" s="186" t="str">
        <x:f>IF(OR(T83&lt;&gt;"Active",U83="Low",ISNUMBER(SEARCH("not publicly",V83)),ISNUMBER(SEARCH("review",T83))),"REVIEW","OK")</x:f>
        <x:v>OK</x:v>
      </x:c>
    </x:row>
    <x:row r="84">
      <x:c r="A84" s="185" t="str">
        <x:v>url:8a8db1e58094c5a602aa</x:v>
      </x:c>
      <x:c r="B84" s="180" t="str">
        <x:v>West Pharmaceutical Services, Inc.</x:v>
      </x:c>
      <x:c r="C84" s="180" t="str">
        <x:v>Parent / consolidated</x:v>
      </x:c>
      <x:c r="D84" s="180" t="str">
        <x:v>Flip-Off Plus</x:v>
      </x:c>
      <x:c r="E84" s="180" t="str">
        <x:v>Vial Containment Solutions</x:v>
      </x:c>
      <x:c r="F84" s="180" t="str">
        <x:v>Seals</x:v>
      </x:c>
      <x:c r="G84" s="180" t="str">
        <x:v>Flip-Off Plus RU Seals</x:v>
      </x:c>
      <x:c r="H84" s="180" t="str">
        <x:v>Family</x:v>
      </x:c>
      <x:c r="I84" s="205" t="str"/>
      <x:c r="J84" s="180" t="str"/>
      <x:c r="K84" s="180" t="str"/>
      <x:c r="L84" s="180" t="str"/>
      <x:c r="M84" s="180" t="str"/>
      <x:c r="N84" s="180" t="str"/>
      <x:c r="O84" s="180" t="str"/>
      <x:c r="P84" s="180" t="str"/>
      <x:c r="Q84" s="180" t="str"/>
      <x:c r="R84" s="180" t="str">
        <x:v>Global / availability varies</x:v>
      </x:c>
      <x:c r="S84" s="180" t="str">
        <x:v>Contact West / account dependent</x:v>
      </x:c>
      <x:c r="T84" s="180" t="str">
        <x:v>Active</x:v>
      </x:c>
      <x:c r="U84" s="180" t="str">
        <x:v>High</x:v>
      </x:c>
      <x:c r="V84" s="180" t="str">
        <x:v>Public family verified</x:v>
      </x:c>
      <x:c r="W84" s="180" t="str">
        <x:v>West official website</x:v>
      </x:c>
      <x:c r="X84" s="180" t="str">
        <x:v>https://www.westpharma.com/products/vial-containment-solutions/seals</x:v>
      </x:c>
      <x:c r="Y84" s="199" t="n">
        <x:v>46224.942662037036</x:v>
      </x:c>
      <x:c r="Z84" s="199" t="n">
        <x:v>46224.942662037036</x:v>
      </x:c>
      <x:c r="AA84" s="180" t="n">
        <x:v>0</x:v>
      </x:c>
      <x:c r="AB84" s="180" t="n">
        <x:v>1</x:v>
      </x:c>
      <x:c r="AC84" s="180" t="str">
        <x:v>Public-source seed researched through 2026-07-21.</x:v>
      </x:c>
      <x:c r="AD84" s="186" t="str">
        <x:f>IF(OR(T84&lt;&gt;"Active",U84="Low",ISNUMBER(SEARCH("not publicly",V84)),ISNUMBER(SEARCH("review",T84))),"REVIEW","OK")</x:f>
        <x:v>OK</x:v>
      </x:c>
    </x:row>
    <x:row r="85">
      <x:c r="A85" s="185" t="str">
        <x:v>url:e2dedc78c46d5c35d09f</x:v>
      </x:c>
      <x:c r="B85" s="180" t="str">
        <x:v>West Pharmaceutical Services, Inc.</x:v>
      </x:c>
      <x:c r="C85" s="180" t="str">
        <x:v>Parent / consolidated</x:v>
      </x:c>
      <x:c r="D85" s="180" t="str">
        <x:v>Flip-Off</x:v>
      </x:c>
      <x:c r="E85" s="180" t="str">
        <x:v>Vial Containment Solutions</x:v>
      </x:c>
      <x:c r="F85" s="180" t="str">
        <x:v>Seals</x:v>
      </x:c>
      <x:c r="G85" s="180" t="str">
        <x:v>Flip-Off Seals</x:v>
      </x:c>
      <x:c r="H85" s="180" t="str">
        <x:v>Family</x:v>
      </x:c>
      <x:c r="I85" s="205" t="str"/>
      <x:c r="J85" s="180" t="str"/>
      <x:c r="K85" s="180" t="str"/>
      <x:c r="L85" s="180" t="str"/>
      <x:c r="M85" s="180" t="str"/>
      <x:c r="N85" s="180" t="str"/>
      <x:c r="O85" s="180" t="str"/>
      <x:c r="P85" s="180" t="str"/>
      <x:c r="Q85" s="180" t="str"/>
      <x:c r="R85" s="180" t="str">
        <x:v>Global / availability varies</x:v>
      </x:c>
      <x:c r="S85" s="180" t="str">
        <x:v>Contact West / account dependent</x:v>
      </x:c>
      <x:c r="T85" s="180" t="str">
        <x:v>Active</x:v>
      </x:c>
      <x:c r="U85" s="180" t="str">
        <x:v>High</x:v>
      </x:c>
      <x:c r="V85" s="180" t="str">
        <x:v>Public family verified</x:v>
      </x:c>
      <x:c r="W85" s="180" t="str">
        <x:v>West official website</x:v>
      </x:c>
      <x:c r="X85" s="180" t="str">
        <x:v>https://www.westpharma.com/products/vial-containment-solutions/seals</x:v>
      </x:c>
      <x:c r="Y85" s="199" t="n">
        <x:v>46224.942662037036</x:v>
      </x:c>
      <x:c r="Z85" s="199" t="n">
        <x:v>46224.942662037036</x:v>
      </x:c>
      <x:c r="AA85" s="180" t="n">
        <x:v>0</x:v>
      </x:c>
      <x:c r="AB85" s="180" t="n">
        <x:v>1</x:v>
      </x:c>
      <x:c r="AC85" s="180" t="str">
        <x:v>Public-source seed researched through 2026-07-21.</x:v>
      </x:c>
      <x:c r="AD85" s="186" t="str">
        <x:f>IF(OR(T85&lt;&gt;"Active",U85="Low",ISNUMBER(SEARCH("not publicly",V85)),ISNUMBER(SEARCH("review",T85))),"REVIEW","OK")</x:f>
        <x:v>OK</x:v>
      </x:c>
    </x:row>
    <x:row r="86">
      <x:c r="A86" s="185" t="str">
        <x:v>url:35cbd5a86baf1233cd7e</x:v>
      </x:c>
      <x:c r="B86" s="180" t="str">
        <x:v>West Pharmaceutical Services, Inc.</x:v>
      </x:c>
      <x:c r="C86" s="180" t="str">
        <x:v>Parent / consolidated</x:v>
      </x:c>
      <x:c r="D86" s="180" t="str">
        <x:v>West Spectra</x:v>
      </x:c>
      <x:c r="E86" s="180" t="str">
        <x:v>Vial Containment Solutions</x:v>
      </x:c>
      <x:c r="F86" s="180" t="str">
        <x:v>Seals</x:v>
      </x:c>
      <x:c r="G86" s="180" t="str">
        <x:v>West Spectra Seals</x:v>
      </x:c>
      <x:c r="H86" s="180" t="str">
        <x:v>Family</x:v>
      </x:c>
      <x:c r="I86" s="205" t="str"/>
      <x:c r="J86" s="180" t="str"/>
      <x:c r="K86" s="180" t="str"/>
      <x:c r="L86" s="180" t="str"/>
      <x:c r="M86" s="180" t="str"/>
      <x:c r="N86" s="180" t="str"/>
      <x:c r="O86" s="180" t="str"/>
      <x:c r="P86" s="180" t="str"/>
      <x:c r="Q86" s="180" t="str"/>
      <x:c r="R86" s="180" t="str">
        <x:v>Global / availability varies</x:v>
      </x:c>
      <x:c r="S86" s="180" t="str">
        <x:v>Contact West / account dependent</x:v>
      </x:c>
      <x:c r="T86" s="180" t="str">
        <x:v>Active</x:v>
      </x:c>
      <x:c r="U86" s="180" t="str">
        <x:v>High</x:v>
      </x:c>
      <x:c r="V86" s="180" t="str">
        <x:v>Public family verified</x:v>
      </x:c>
      <x:c r="W86" s="180" t="str">
        <x:v>West official website</x:v>
      </x:c>
      <x:c r="X86" s="180" t="str">
        <x:v>https://www.westpharma.com/products/vial-containment-solutions/seals</x:v>
      </x:c>
      <x:c r="Y86" s="199" t="n">
        <x:v>46224.942662037036</x:v>
      </x:c>
      <x:c r="Z86" s="199" t="n">
        <x:v>46224.942662037036</x:v>
      </x:c>
      <x:c r="AA86" s="180" t="n">
        <x:v>0</x:v>
      </x:c>
      <x:c r="AB86" s="180" t="n">
        <x:v>1</x:v>
      </x:c>
      <x:c r="AC86" s="180" t="str">
        <x:v>Public-source seed researched through 2026-07-21.</x:v>
      </x:c>
      <x:c r="AD86" s="186" t="str">
        <x:f>IF(OR(T86&lt;&gt;"Active",U86="Low",ISNUMBER(SEARCH("not publicly",V86)),ISNUMBER(SEARCH("review",T86))),"REVIEW","OK")</x:f>
        <x:v>OK</x:v>
      </x:c>
    </x:row>
    <x:row r="87">
      <x:c r="A87" s="185" t="str">
        <x:v>url:1e928d3bbe2dcdb31884</x:v>
      </x:c>
      <x:c r="B87" s="180" t="str">
        <x:v>West Pharmaceutical Services, Inc.</x:v>
      </x:c>
      <x:c r="C87" s="180" t="str">
        <x:v>Parent / consolidated</x:v>
      </x:c>
      <x:c r="D87" s="180" t="str">
        <x:v>PLASCAP</x:v>
      </x:c>
      <x:c r="E87" s="180" t="str">
        <x:v>Vial Containment Solutions</x:v>
      </x:c>
      <x:c r="F87" s="180" t="str">
        <x:v>Seals and integrated closures</x:v>
      </x:c>
      <x:c r="G87" s="180" t="str">
        <x:v>Daikyo PLASCAP RUV Closures</x:v>
      </x:c>
      <x:c r="H87" s="180" t="str">
        <x:v>Family</x:v>
      </x:c>
      <x:c r="I87" s="205" t="str"/>
      <x:c r="J87" s="180" t="str"/>
      <x:c r="K87" s="180" t="str"/>
      <x:c r="L87" s="180" t="str"/>
      <x:c r="M87" s="180" t="str"/>
      <x:c r="N87" s="180" t="str"/>
      <x:c r="O87" s="180" t="str"/>
      <x:c r="P87" s="180" t="str"/>
      <x:c r="Q87" s="180" t="str"/>
      <x:c r="R87" s="180" t="str">
        <x:v>Global / availability varies</x:v>
      </x:c>
      <x:c r="S87" s="180" t="str">
        <x:v>Contact West / account dependent</x:v>
      </x:c>
      <x:c r="T87" s="180" t="str">
        <x:v>Active</x:v>
      </x:c>
      <x:c r="U87" s="180" t="str">
        <x:v>High</x:v>
      </x:c>
      <x:c r="V87" s="180" t="str">
        <x:v>Public family verified</x:v>
      </x:c>
      <x:c r="W87" s="180" t="str">
        <x:v>West official website</x:v>
      </x:c>
      <x:c r="X87" s="180" t="str">
        <x:v>https://www.westpharma.com/products/vial-containment-solutions/seals</x:v>
      </x:c>
      <x:c r="Y87" s="199" t="n">
        <x:v>46224.942662037036</x:v>
      </x:c>
      <x:c r="Z87" s="199" t="n">
        <x:v>46224.942662037036</x:v>
      </x:c>
      <x:c r="AA87" s="180" t="n">
        <x:v>0</x:v>
      </x:c>
      <x:c r="AB87" s="180" t="n">
        <x:v>1</x:v>
      </x:c>
      <x:c r="AC87" s="180" t="str">
        <x:v>Public-source seed researched through 2026-07-21.</x:v>
      </x:c>
      <x:c r="AD87" s="186" t="str">
        <x:f>IF(OR(T87&lt;&gt;"Active",U87="Low",ISNUMBER(SEARCH("not publicly",V87)),ISNUMBER(SEARCH("review",T87))),"REVIEW","OK")</x:f>
        <x:v>OK</x:v>
      </x:c>
    </x:row>
    <x:row r="88">
      <x:c r="A88" s="185" t="str">
        <x:v>sku:19700317</x:v>
      </x:c>
      <x:c r="B88" s="180" t="str">
        <x:v>West Pharmaceutical Services, Inc.</x:v>
      </x:c>
      <x:c r="C88" s="180" t="str">
        <x:v>Parent / consolidated</x:v>
      </x:c>
      <x:c r="D88" s="180" t="str">
        <x:v>NovaPure</x:v>
      </x:c>
      <x:c r="E88" s="180" t="str">
        <x:v>Vial Containment Solutions</x:v>
      </x:c>
      <x:c r="F88" s="180" t="str">
        <x:v>Stoppers</x:v>
      </x:c>
      <x:c r="G88" s="180" t="str">
        <x:v>13mm NovaPure RS Chlorobutyl Serum Stoppers</x:v>
      </x:c>
      <x:c r="H88" s="180" t="str">
        <x:v>SKU</x:v>
      </x:c>
      <x:c r="I88" s="205" t="str">
        <x:v>19700317</x:v>
      </x:c>
      <x:c r="J88" s="180" t="str">
        <x:v>13mm</x:v>
      </x:c>
      <x:c r="K88" s="180" t="str">
        <x:v>13mm</x:v>
      </x:c>
      <x:c r="L88" s="180" t="str">
        <x:v>Chlorobutyl</x:v>
      </x:c>
      <x:c r="M88" s="180" t="str">
        <x:v>RS</x:v>
      </x:c>
      <x:c r="N88" s="180" t="str"/>
      <x:c r="O88" s="180" t="str"/>
      <x:c r="P88" s="180" t="str"/>
      <x:c r="Q88" s="180" t="str"/>
      <x:c r="R88" s="180" t="str">
        <x:v>Global / availability varies</x:v>
      </x:c>
      <x:c r="S88" s="180" t="str">
        <x:v>Observed in public West online-store indexing; account availability may differ</x:v>
      </x:c>
      <x:c r="T88" s="180" t="str">
        <x:v>Active</x:v>
      </x:c>
      <x:c r="U88" s="180" t="str">
        <x:v>High</x:v>
      </x:c>
      <x:c r="V88" s="180" t="str">
        <x:v>Public store SKU verified</x:v>
      </x:c>
      <x:c r="W88" s="180" t="str">
        <x:v>West Online Store indexed product page</x:v>
      </x:c>
      <x:c r="X88" s="180" t="str">
        <x:v>https://www.westpharma.com/online-store/all-products</x:v>
      </x:c>
      <x:c r="Y88" s="199" t="n">
        <x:v>46224.942662037036</x:v>
      </x:c>
      <x:c r="Z88" s="199" t="n">
        <x:v>46224.942662037036</x:v>
      </x:c>
      <x:c r="AA88" s="180" t="n">
        <x:v>0</x:v>
      </x:c>
      <x:c r="AB88" s="180" t="n">
        <x:v>1</x:v>
      </x:c>
      <x:c r="AC88" s="180" t="str">
        <x:v>Exact product-detail URL should be refreshed by the Playwright crawler; duplicate item-number rows are deduplicated by canonical SKU key. Public-source seed researched through 2026-07-21.</x:v>
      </x:c>
      <x:c r="AD88" s="186" t="str">
        <x:f>IF(OR(T88&lt;&gt;"Active",U88="Low",ISNUMBER(SEARCH("not publicly",V88)),ISNUMBER(SEARCH("review",T88))),"REVIEW","OK")</x:f>
        <x:v>OK</x:v>
      </x:c>
    </x:row>
    <x:row r="89">
      <x:c r="A89" s="185" t="str">
        <x:v>sku:100015069</x:v>
      </x:c>
      <x:c r="B89" s="180" t="str">
        <x:v>West Pharmaceutical Services, Inc.</x:v>
      </x:c>
      <x:c r="C89" s="180" t="str">
        <x:v>Parent / consolidated</x:v>
      </x:c>
      <x:c r="D89" s="180" t="str">
        <x:v>NovaPure</x:v>
      </x:c>
      <x:c r="E89" s="180" t="str">
        <x:v>Vial Containment Solutions</x:v>
      </x:c>
      <x:c r="F89" s="180" t="str">
        <x:v>Stoppers</x:v>
      </x:c>
      <x:c r="G89" s="180" t="str">
        <x:v>13mm NovaPure RU Bromobutyl Lyo Stoppers</x:v>
      </x:c>
      <x:c r="H89" s="180" t="str">
        <x:v>SKU</x:v>
      </x:c>
      <x:c r="I89" s="205" t="str">
        <x:v>100015069</x:v>
      </x:c>
      <x:c r="J89" s="180" t="str">
        <x:v>13mm</x:v>
      </x:c>
      <x:c r="K89" s="180" t="str">
        <x:v>13mm</x:v>
      </x:c>
      <x:c r="L89" s="180" t="str">
        <x:v>Bromobutyl</x:v>
      </x:c>
      <x:c r="M89" s="180" t="str">
        <x:v>RU</x:v>
      </x:c>
      <x:c r="N89" s="180" t="str"/>
      <x:c r="O89" s="180" t="str"/>
      <x:c r="P89" s="180" t="str"/>
      <x:c r="Q89" s="180" t="str"/>
      <x:c r="R89" s="180" t="str">
        <x:v>Global / availability varies</x:v>
      </x:c>
      <x:c r="S89" s="180" t="str">
        <x:v>Observed in public West online-store indexing; account availability may differ</x:v>
      </x:c>
      <x:c r="T89" s="180" t="str">
        <x:v>Active</x:v>
      </x:c>
      <x:c r="U89" s="180" t="str">
        <x:v>High</x:v>
      </x:c>
      <x:c r="V89" s="180" t="str">
        <x:v>Public store SKU verified</x:v>
      </x:c>
      <x:c r="W89" s="180" t="str">
        <x:v>West Online Store indexed product page</x:v>
      </x:c>
      <x:c r="X89" s="180" t="str">
        <x:v>https://www.westpharma.com/online-store/all-products</x:v>
      </x:c>
      <x:c r="Y89" s="199" t="n">
        <x:v>46224.942662037036</x:v>
      </x:c>
      <x:c r="Z89" s="199" t="n">
        <x:v>46224.942662037036</x:v>
      </x:c>
      <x:c r="AA89" s="180" t="n">
        <x:v>0</x:v>
      </x:c>
      <x:c r="AB89" s="180" t="n">
        <x:v>1</x:v>
      </x:c>
      <x:c r="AC89" s="180" t="str">
        <x:v>Exact product-detail URL should be refreshed by the Playwright crawler; duplicate item-number rows are deduplicated by canonical SKU key. Public-source seed researched through 2026-07-21.</x:v>
      </x:c>
      <x:c r="AD89" s="186" t="str">
        <x:f>IF(OR(T89&lt;&gt;"Active",U89="Low",ISNUMBER(SEARCH("not publicly",V89)),ISNUMBER(SEARCH("review",T89))),"REVIEW","OK")</x:f>
        <x:v>OK</x:v>
      </x:c>
    </x:row>
    <x:row r="90">
      <x:c r="A90" s="185" t="str">
        <x:v>sku:100014583</x:v>
      </x:c>
      <x:c r="B90" s="180" t="str">
        <x:v>West Pharmaceutical Services, Inc.</x:v>
      </x:c>
      <x:c r="C90" s="180" t="str">
        <x:v>Parent / consolidated</x:v>
      </x:c>
      <x:c r="D90" s="180" t="str">
        <x:v>NovaPure</x:v>
      </x:c>
      <x:c r="E90" s="180" t="str">
        <x:v>Vial Containment Solutions</x:v>
      </x:c>
      <x:c r="F90" s="180" t="str">
        <x:v>Stoppers</x:v>
      </x:c>
      <x:c r="G90" s="180" t="str">
        <x:v>13mm NovaPure RU Bromobutyl Serum Stoppers</x:v>
      </x:c>
      <x:c r="H90" s="180" t="str">
        <x:v>SKU</x:v>
      </x:c>
      <x:c r="I90" s="205" t="str">
        <x:v>100014583</x:v>
      </x:c>
      <x:c r="J90" s="180" t="str">
        <x:v>13mm</x:v>
      </x:c>
      <x:c r="K90" s="180" t="str">
        <x:v>13mm</x:v>
      </x:c>
      <x:c r="L90" s="180" t="str">
        <x:v>Bromobutyl</x:v>
      </x:c>
      <x:c r="M90" s="180" t="str">
        <x:v>RU</x:v>
      </x:c>
      <x:c r="N90" s="180" t="str"/>
      <x:c r="O90" s="180" t="str"/>
      <x:c r="P90" s="180" t="str"/>
      <x:c r="Q90" s="180" t="str"/>
      <x:c r="R90" s="180" t="str">
        <x:v>Global / availability varies</x:v>
      </x:c>
      <x:c r="S90" s="180" t="str">
        <x:v>Observed in public West online-store indexing; account availability may differ</x:v>
      </x:c>
      <x:c r="T90" s="180" t="str">
        <x:v>Active</x:v>
      </x:c>
      <x:c r="U90" s="180" t="str">
        <x:v>High</x:v>
      </x:c>
      <x:c r="V90" s="180" t="str">
        <x:v>Public store SKU verified</x:v>
      </x:c>
      <x:c r="W90" s="180" t="str">
        <x:v>West Online Store indexed product page</x:v>
      </x:c>
      <x:c r="X90" s="180" t="str">
        <x:v>https://www.westpharma.com/online-store/all-products</x:v>
      </x:c>
      <x:c r="Y90" s="199" t="n">
        <x:v>46224.942662037036</x:v>
      </x:c>
      <x:c r="Z90" s="199" t="n">
        <x:v>46224.942662037036</x:v>
      </x:c>
      <x:c r="AA90" s="180" t="n">
        <x:v>0</x:v>
      </x:c>
      <x:c r="AB90" s="180" t="n">
        <x:v>1</x:v>
      </x:c>
      <x:c r="AC90" s="180" t="str">
        <x:v>Exact product-detail URL should be refreshed by the Playwright crawler; duplicate item-number rows are deduplicated by canonical SKU key. Public-source seed researched through 2026-07-21.</x:v>
      </x:c>
      <x:c r="AD90" s="186" t="str">
        <x:f>IF(OR(T90&lt;&gt;"Active",U90="Low",ISNUMBER(SEARCH("not publicly",V90)),ISNUMBER(SEARCH("review",T90))),"REVIEW","OK")</x:f>
        <x:v>OK</x:v>
      </x:c>
    </x:row>
    <x:row r="91">
      <x:c r="A91" s="185" t="str">
        <x:v>sku:19700308</x:v>
      </x:c>
      <x:c r="B91" s="180" t="str">
        <x:v>West Pharmaceutical Services, Inc.</x:v>
      </x:c>
      <x:c r="C91" s="180" t="str">
        <x:v>Parent / consolidated</x:v>
      </x:c>
      <x:c r="D91" s="180" t="str">
        <x:v>NovaPure</x:v>
      </x:c>
      <x:c r="E91" s="180" t="str">
        <x:v>Vial Containment Solutions</x:v>
      </x:c>
      <x:c r="F91" s="180" t="str">
        <x:v>Stoppers</x:v>
      </x:c>
      <x:c r="G91" s="180" t="str">
        <x:v>13mm NovaPure RU Chlorobutyl Lyo Stoppers</x:v>
      </x:c>
      <x:c r="H91" s="180" t="str">
        <x:v>SKU</x:v>
      </x:c>
      <x:c r="I91" s="205" t="str">
        <x:v>19700308</x:v>
      </x:c>
      <x:c r="J91" s="180" t="str">
        <x:v>13mm</x:v>
      </x:c>
      <x:c r="K91" s="180" t="str">
        <x:v>13mm</x:v>
      </x:c>
      <x:c r="L91" s="180" t="str">
        <x:v>Chlorobutyl</x:v>
      </x:c>
      <x:c r="M91" s="180" t="str">
        <x:v>RU</x:v>
      </x:c>
      <x:c r="N91" s="180" t="str"/>
      <x:c r="O91" s="180" t="str"/>
      <x:c r="P91" s="180" t="str"/>
      <x:c r="Q91" s="180" t="str"/>
      <x:c r="R91" s="180" t="str">
        <x:v>Global / availability varies</x:v>
      </x:c>
      <x:c r="S91" s="180" t="str">
        <x:v>Observed in public West online-store indexing; account availability may differ</x:v>
      </x:c>
      <x:c r="T91" s="180" t="str">
        <x:v>Active</x:v>
      </x:c>
      <x:c r="U91" s="180" t="str">
        <x:v>High</x:v>
      </x:c>
      <x:c r="V91" s="180" t="str">
        <x:v>Public store SKU verified</x:v>
      </x:c>
      <x:c r="W91" s="180" t="str">
        <x:v>West Online Store indexed product page</x:v>
      </x:c>
      <x:c r="X91" s="180" t="str">
        <x:v>https://www.westpharma.com/online-store/all-products</x:v>
      </x:c>
      <x:c r="Y91" s="199" t="n">
        <x:v>46224.942662037036</x:v>
      </x:c>
      <x:c r="Z91" s="199" t="n">
        <x:v>46224.942662037036</x:v>
      </x:c>
      <x:c r="AA91" s="180" t="n">
        <x:v>0</x:v>
      </x:c>
      <x:c r="AB91" s="180" t="n">
        <x:v>1</x:v>
      </x:c>
      <x:c r="AC91" s="180" t="str">
        <x:v>Exact product-detail URL should be refreshed by the Playwright crawler; duplicate item-number rows are deduplicated by canonical SKU key. Public-source seed researched through 2026-07-21.</x:v>
      </x:c>
      <x:c r="AD91" s="186" t="str">
        <x:f>IF(OR(T91&lt;&gt;"Active",U91="Low",ISNUMBER(SEARCH("not publicly",V91)),ISNUMBER(SEARCH("review",T91))),"REVIEW","OK")</x:f>
        <x:v>OK</x:v>
      </x:c>
    </x:row>
    <x:row r="92">
      <x:c r="A92" s="185" t="str">
        <x:v>sku:10123792</x:v>
      </x:c>
      <x:c r="B92" s="180" t="str">
        <x:v>West Pharmaceutical Services, Inc.</x:v>
      </x:c>
      <x:c r="C92" s="180" t="str">
        <x:v>Parent / consolidated</x:v>
      </x:c>
      <x:c r="D92" s="180" t="str">
        <x:v>LyoTec</x:v>
      </x:c>
      <x:c r="E92" s="180" t="str">
        <x:v>Vial Containment Solutions</x:v>
      </x:c>
      <x:c r="F92" s="180" t="str">
        <x:v>Stoppers</x:v>
      </x:c>
      <x:c r="G92" s="180" t="str">
        <x:v>13mm V50I LyoTec Westar Select RS Chlorobutyl 4040/40 Gray B2 Lyo Stopper</x:v>
      </x:c>
      <x:c r="H92" s="180" t="str">
        <x:v>SKU</x:v>
      </x:c>
      <x:c r="I92" s="205" t="str">
        <x:v>10123792</x:v>
      </x:c>
      <x:c r="J92" s="180" t="str">
        <x:v>13mm</x:v>
      </x:c>
      <x:c r="K92" s="180" t="str">
        <x:v>13mm</x:v>
      </x:c>
      <x:c r="L92" s="180" t="str">
        <x:v>Chlorobutyl 4040/40 gray</x:v>
      </x:c>
      <x:c r="M92" s="180" t="str">
        <x:v>Westar Select RS</x:v>
      </x:c>
      <x:c r="N92" s="180" t="str"/>
      <x:c r="O92" s="180" t="str"/>
      <x:c r="P92" s="180" t="str"/>
      <x:c r="Q92" s="180" t="str"/>
      <x:c r="R92" s="180" t="str">
        <x:v>Global / availability varies</x:v>
      </x:c>
      <x:c r="S92" s="180" t="str">
        <x:v>Observed in public West online-store indexing; account availability may differ</x:v>
      </x:c>
      <x:c r="T92" s="180" t="str">
        <x:v>Active</x:v>
      </x:c>
      <x:c r="U92" s="180" t="str">
        <x:v>High</x:v>
      </x:c>
      <x:c r="V92" s="180" t="str">
        <x:v>Public store SKU verified</x:v>
      </x:c>
      <x:c r="W92" s="180" t="str">
        <x:v>West Online Store indexed product page</x:v>
      </x:c>
      <x:c r="X92" s="180" t="str">
        <x:v>https://www.westpharma.com/online-store/all-products</x:v>
      </x:c>
      <x:c r="Y92" s="199" t="n">
        <x:v>46224.942662037036</x:v>
      </x:c>
      <x:c r="Z92" s="199" t="n">
        <x:v>46224.942662037036</x:v>
      </x:c>
      <x:c r="AA92" s="180" t="n">
        <x:v>0</x:v>
      </x:c>
      <x:c r="AB92" s="180" t="n">
        <x:v>1</x:v>
      </x:c>
      <x:c r="AC92" s="180" t="str">
        <x:v>Exact product-detail URL should be refreshed by the Playwright crawler; duplicate item-number rows are deduplicated by canonical SKU key. Public-source seed researched through 2026-07-21.</x:v>
      </x:c>
      <x:c r="AD92" s="186" t="str">
        <x:f>IF(OR(T92&lt;&gt;"Active",U92="Low",ISNUMBER(SEARCH("not publicly",V92)),ISNUMBER(SEARCH("review",T92))),"REVIEW","OK")</x:f>
        <x:v>OK</x:v>
      </x:c>
    </x:row>
    <x:row r="93">
      <x:c r="A93" s="185" t="str">
        <x:v>sku:10122743</x:v>
      </x:c>
      <x:c r="B93" s="180" t="str">
        <x:v>West Pharmaceutical Services, Inc.</x:v>
      </x:c>
      <x:c r="C93" s="180" t="str">
        <x:v>Parent / consolidated</x:v>
      </x:c>
      <x:c r="D93" s="180" t="str">
        <x:v>Westar Select</x:v>
      </x:c>
      <x:c r="E93" s="180" t="str">
        <x:v>Vial Containment Solutions</x:v>
      </x:c>
      <x:c r="F93" s="180" t="str">
        <x:v>Stoppers</x:v>
      </x:c>
      <x:c r="G93" s="180" t="str">
        <x:v>13mm Westar Select RS Lyo Bromobutyl 4023/50 FluroTec Envision Stoppers</x:v>
      </x:c>
      <x:c r="H93" s="180" t="str">
        <x:v>SKU</x:v>
      </x:c>
      <x:c r="I93" s="205" t="str">
        <x:v>10122743</x:v>
      </x:c>
      <x:c r="J93" s="180" t="str">
        <x:v>13mm</x:v>
      </x:c>
      <x:c r="K93" s="180" t="str">
        <x:v>13mm</x:v>
      </x:c>
      <x:c r="L93" s="180" t="str">
        <x:v>Bromobutyl 4023/50</x:v>
      </x:c>
      <x:c r="M93" s="180" t="str">
        <x:v>Westar Select RS</x:v>
      </x:c>
      <x:c r="N93" s="180" t="str"/>
      <x:c r="O93" s="180" t="str"/>
      <x:c r="P93" s="180" t="str"/>
      <x:c r="Q93" s="180" t="str"/>
      <x:c r="R93" s="180" t="str">
        <x:v>Global / availability varies</x:v>
      </x:c>
      <x:c r="S93" s="180" t="str">
        <x:v>Observed in public West online-store indexing; account availability may differ</x:v>
      </x:c>
      <x:c r="T93" s="180" t="str">
        <x:v>Active</x:v>
      </x:c>
      <x:c r="U93" s="180" t="str">
        <x:v>High</x:v>
      </x:c>
      <x:c r="V93" s="180" t="str">
        <x:v>Public store SKU verified</x:v>
      </x:c>
      <x:c r="W93" s="180" t="str">
        <x:v>West Online Store indexed product page</x:v>
      </x:c>
      <x:c r="X93" s="180" t="str">
        <x:v>https://www.westpharma.com/online-store/all-products</x:v>
      </x:c>
      <x:c r="Y93" s="199" t="n">
        <x:v>46224.942662037036</x:v>
      </x:c>
      <x:c r="Z93" s="199" t="n">
        <x:v>46224.942662037036</x:v>
      </x:c>
      <x:c r="AA93" s="180" t="n">
        <x:v>0</x:v>
      </x:c>
      <x:c r="AB93" s="180" t="n">
        <x:v>1</x:v>
      </x:c>
      <x:c r="AC93" s="180" t="str">
        <x:v>Exact product-detail URL should be refreshed by the Playwright crawler; duplicate item-number rows are deduplicated by canonical SKU key. Public-source seed researched through 2026-07-21.</x:v>
      </x:c>
      <x:c r="AD93" s="186" t="str">
        <x:f>IF(OR(T93&lt;&gt;"Active",U93="Low",ISNUMBER(SEARCH("not publicly",V93)),ISNUMBER(SEARCH("review",T93))),"REVIEW","OK")</x:f>
        <x:v>OK</x:v>
      </x:c>
    </x:row>
    <x:row r="94">
      <x:c r="A94" s="185" t="str">
        <x:v>sku:70025023</x:v>
      </x:c>
      <x:c r="B94" s="180" t="str">
        <x:v>West Pharmaceutical Services, Inc.</x:v>
      </x:c>
      <x:c r="C94" s="180" t="str">
        <x:v>Parent / consolidated</x:v>
      </x:c>
      <x:c r="D94" s="180" t="str">
        <x:v>NovaPure</x:v>
      </x:c>
      <x:c r="E94" s="180" t="str">
        <x:v>Vial Containment Solutions</x:v>
      </x:c>
      <x:c r="F94" s="180" t="str">
        <x:v>Stoppers</x:v>
      </x:c>
      <x:c r="G94" s="180" t="str">
        <x:v>20mm NovaPure RS Bromobutyl 4023/50 Lyo Stoppers</x:v>
      </x:c>
      <x:c r="H94" s="180" t="str">
        <x:v>SKU</x:v>
      </x:c>
      <x:c r="I94" s="205" t="str">
        <x:v>70025023</x:v>
      </x:c>
      <x:c r="J94" s="180" t="str">
        <x:v>20mm</x:v>
      </x:c>
      <x:c r="K94" s="180" t="str">
        <x:v>20mm</x:v>
      </x:c>
      <x:c r="L94" s="180" t="str">
        <x:v>Bromobutyl 4023/50</x:v>
      </x:c>
      <x:c r="M94" s="180" t="str">
        <x:v>RS</x:v>
      </x:c>
      <x:c r="N94" s="180" t="str"/>
      <x:c r="O94" s="180" t="str"/>
      <x:c r="P94" s="180" t="str"/>
      <x:c r="Q94" s="180" t="str"/>
      <x:c r="R94" s="180" t="str">
        <x:v>Global / availability varies</x:v>
      </x:c>
      <x:c r="S94" s="180" t="str">
        <x:v>Observed in public West online-store indexing; account availability may differ</x:v>
      </x:c>
      <x:c r="T94" s="180" t="str">
        <x:v>Active</x:v>
      </x:c>
      <x:c r="U94" s="180" t="str">
        <x:v>High</x:v>
      </x:c>
      <x:c r="V94" s="180" t="str">
        <x:v>Public store SKU verified</x:v>
      </x:c>
      <x:c r="W94" s="180" t="str">
        <x:v>West Online Store indexed product page</x:v>
      </x:c>
      <x:c r="X94" s="180" t="str">
        <x:v>https://www.westpharma.com/online-store/all-products</x:v>
      </x:c>
      <x:c r="Y94" s="199" t="n">
        <x:v>46224.942662037036</x:v>
      </x:c>
      <x:c r="Z94" s="199" t="n">
        <x:v>46224.942662037036</x:v>
      </x:c>
      <x:c r="AA94" s="180" t="n">
        <x:v>0</x:v>
      </x:c>
      <x:c r="AB94" s="180" t="n">
        <x:v>1</x:v>
      </x:c>
      <x:c r="AC94" s="180" t="str">
        <x:v>Exact product-detail URL should be refreshed by the Playwright crawler; duplicate item-number rows are deduplicated by canonical SKU key. Public-source seed researched through 2026-07-21.</x:v>
      </x:c>
      <x:c r="AD94" s="186" t="str">
        <x:f>IF(OR(T94&lt;&gt;"Active",U94="Low",ISNUMBER(SEARCH("not publicly",V94)),ISNUMBER(SEARCH("review",T94))),"REVIEW","OK")</x:f>
        <x:v>OK</x:v>
      </x:c>
    </x:row>
    <x:row r="95">
      <x:c r="A95" s="185" t="str">
        <x:v>sku:100015058</x:v>
      </x:c>
      <x:c r="B95" s="180" t="str">
        <x:v>West Pharmaceutical Services, Inc.</x:v>
      </x:c>
      <x:c r="C95" s="180" t="str">
        <x:v>Parent / consolidated</x:v>
      </x:c>
      <x:c r="D95" s="180" t="str">
        <x:v>NovaPure</x:v>
      </x:c>
      <x:c r="E95" s="180" t="str">
        <x:v>Vial Containment Solutions</x:v>
      </x:c>
      <x:c r="F95" s="180" t="str">
        <x:v>Stoppers</x:v>
      </x:c>
      <x:c r="G95" s="180" t="str">
        <x:v>20mm NovaPure RU Bromobutyl 4023/50 Lyo Stoppers</x:v>
      </x:c>
      <x:c r="H95" s="180" t="str">
        <x:v>SKU</x:v>
      </x:c>
      <x:c r="I95" s="205" t="str">
        <x:v>100015058</x:v>
      </x:c>
      <x:c r="J95" s="180" t="str">
        <x:v>20mm</x:v>
      </x:c>
      <x:c r="K95" s="180" t="str">
        <x:v>20mm</x:v>
      </x:c>
      <x:c r="L95" s="180" t="str">
        <x:v>Bromobutyl 4023/50</x:v>
      </x:c>
      <x:c r="M95" s="180" t="str">
        <x:v>RU</x:v>
      </x:c>
      <x:c r="N95" s="180" t="str"/>
      <x:c r="O95" s="180" t="str"/>
      <x:c r="P95" s="180" t="str"/>
      <x:c r="Q95" s="180" t="str"/>
      <x:c r="R95" s="180" t="str">
        <x:v>Global / availability varies</x:v>
      </x:c>
      <x:c r="S95" s="180" t="str">
        <x:v>Observed in public West online-store indexing; account availability may differ</x:v>
      </x:c>
      <x:c r="T95" s="180" t="str">
        <x:v>Active</x:v>
      </x:c>
      <x:c r="U95" s="180" t="str">
        <x:v>High</x:v>
      </x:c>
      <x:c r="V95" s="180" t="str">
        <x:v>Public store SKU verified</x:v>
      </x:c>
      <x:c r="W95" s="180" t="str">
        <x:v>West Online Store indexed product page</x:v>
      </x:c>
      <x:c r="X95" s="180" t="str">
        <x:v>https://www.westpharma.com/online-store/all-products</x:v>
      </x:c>
      <x:c r="Y95" s="199" t="n">
        <x:v>46224.942662037036</x:v>
      </x:c>
      <x:c r="Z95" s="199" t="n">
        <x:v>46224.942662037036</x:v>
      </x:c>
      <x:c r="AA95" s="180" t="n">
        <x:v>0</x:v>
      </x:c>
      <x:c r="AB95" s="180" t="n">
        <x:v>1</x:v>
      </x:c>
      <x:c r="AC95" s="180" t="str">
        <x:v>Exact product-detail URL should be refreshed by the Playwright crawler; duplicate item-number rows are deduplicated by canonical SKU key. Public-source seed researched through 2026-07-21.</x:v>
      </x:c>
      <x:c r="AD95" s="186" t="str">
        <x:f>IF(OR(T95&lt;&gt;"Active",U95="Low",ISNUMBER(SEARCH("not publicly",V95)),ISNUMBER(SEARCH("review",T95))),"REVIEW","OK")</x:f>
        <x:v>OK</x:v>
      </x:c>
    </x:row>
    <x:row r="96">
      <x:c r="A96" s="185" t="str">
        <x:v>sku:19700365</x:v>
      </x:c>
      <x:c r="B96" s="180" t="str">
        <x:v>West Pharmaceutical Services, Inc.</x:v>
      </x:c>
      <x:c r="C96" s="180" t="str">
        <x:v>Parent / consolidated</x:v>
      </x:c>
      <x:c r="D96" s="180" t="str">
        <x:v>NovaPure</x:v>
      </x:c>
      <x:c r="E96" s="180" t="str">
        <x:v>Vial Containment Solutions</x:v>
      </x:c>
      <x:c r="F96" s="180" t="str">
        <x:v>Stoppers</x:v>
      </x:c>
      <x:c r="G96" s="180" t="str">
        <x:v>20mm NovaPure RU Bromobutyl Lyo Stoppers</x:v>
      </x:c>
      <x:c r="H96" s="180" t="str">
        <x:v>SKU</x:v>
      </x:c>
      <x:c r="I96" s="205" t="str">
        <x:v>19700365</x:v>
      </x:c>
      <x:c r="J96" s="180" t="str">
        <x:v>20mm</x:v>
      </x:c>
      <x:c r="K96" s="180" t="str">
        <x:v>20mm</x:v>
      </x:c>
      <x:c r="L96" s="180" t="str">
        <x:v>Bromobutyl</x:v>
      </x:c>
      <x:c r="M96" s="180" t="str">
        <x:v>RU</x:v>
      </x:c>
      <x:c r="N96" s="180" t="str"/>
      <x:c r="O96" s="180" t="str"/>
      <x:c r="P96" s="180" t="str"/>
      <x:c r="Q96" s="180" t="str"/>
      <x:c r="R96" s="180" t="str">
        <x:v>Global / availability varies</x:v>
      </x:c>
      <x:c r="S96" s="180" t="str">
        <x:v>Observed in public West online-store indexing; account availability may differ</x:v>
      </x:c>
      <x:c r="T96" s="180" t="str">
        <x:v>Active</x:v>
      </x:c>
      <x:c r="U96" s="180" t="str">
        <x:v>High</x:v>
      </x:c>
      <x:c r="V96" s="180" t="str">
        <x:v>Public store SKU verified</x:v>
      </x:c>
      <x:c r="W96" s="180" t="str">
        <x:v>West Online Store indexed product page</x:v>
      </x:c>
      <x:c r="X96" s="180" t="str">
        <x:v>https://www.westpharma.com/online-store/all-products</x:v>
      </x:c>
      <x:c r="Y96" s="199" t="n">
        <x:v>46224.942662037036</x:v>
      </x:c>
      <x:c r="Z96" s="199" t="n">
        <x:v>46224.942662037036</x:v>
      </x:c>
      <x:c r="AA96" s="180" t="n">
        <x:v>0</x:v>
      </x:c>
      <x:c r="AB96" s="180" t="n">
        <x:v>1</x:v>
      </x:c>
      <x:c r="AC96" s="180" t="str">
        <x:v>Exact product-detail URL should be refreshed by the Playwright crawler; duplicate item-number rows are deduplicated by canonical SKU key. Public-source seed researched through 2026-07-21.</x:v>
      </x:c>
      <x:c r="AD96" s="186" t="str">
        <x:f>IF(OR(T96&lt;&gt;"Active",U96="Low",ISNUMBER(SEARCH("not publicly",V96)),ISNUMBER(SEARCH("review",T96))),"REVIEW","OK")</x:f>
        <x:v>OK</x:v>
      </x:c>
    </x:row>
    <x:row r="97">
      <x:c r="A97" s="185" t="str">
        <x:v>sku:19700311</x:v>
      </x:c>
      <x:c r="B97" s="180" t="str">
        <x:v>West Pharmaceutical Services, Inc.</x:v>
      </x:c>
      <x:c r="C97" s="180" t="str">
        <x:v>Parent / consolidated</x:v>
      </x:c>
      <x:c r="D97" s="180" t="str">
        <x:v>NovaPure</x:v>
      </x:c>
      <x:c r="E97" s="180" t="str">
        <x:v>Vial Containment Solutions</x:v>
      </x:c>
      <x:c r="F97" s="180" t="str">
        <x:v>Stoppers</x:v>
      </x:c>
      <x:c r="G97" s="180" t="str">
        <x:v>20mm NovaPure RU Chlorobutyl 4432/50 Lyo Stoppers</x:v>
      </x:c>
      <x:c r="H97" s="180" t="str">
        <x:v>SKU</x:v>
      </x:c>
      <x:c r="I97" s="205" t="str">
        <x:v>19700311</x:v>
      </x:c>
      <x:c r="J97" s="180" t="str">
        <x:v>20mm</x:v>
      </x:c>
      <x:c r="K97" s="180" t="str">
        <x:v>20mm</x:v>
      </x:c>
      <x:c r="L97" s="180" t="str">
        <x:v>Chlorobutyl 4432/50</x:v>
      </x:c>
      <x:c r="M97" s="180" t="str">
        <x:v>RU</x:v>
      </x:c>
      <x:c r="N97" s="180" t="str"/>
      <x:c r="O97" s="180" t="str"/>
      <x:c r="P97" s="180" t="str"/>
      <x:c r="Q97" s="180" t="str"/>
      <x:c r="R97" s="180" t="str">
        <x:v>Global / availability varies</x:v>
      </x:c>
      <x:c r="S97" s="180" t="str">
        <x:v>Observed in public West online-store indexing; account availability may differ</x:v>
      </x:c>
      <x:c r="T97" s="180" t="str">
        <x:v>Active</x:v>
      </x:c>
      <x:c r="U97" s="180" t="str">
        <x:v>High</x:v>
      </x:c>
      <x:c r="V97" s="180" t="str">
        <x:v>Public store SKU verified</x:v>
      </x:c>
      <x:c r="W97" s="180" t="str">
        <x:v>West Online Store indexed product page</x:v>
      </x:c>
      <x:c r="X97" s="180" t="str">
        <x:v>https://www.westpharma.com/online-store/all-products</x:v>
      </x:c>
      <x:c r="Y97" s="199" t="n">
        <x:v>46224.942662037036</x:v>
      </x:c>
      <x:c r="Z97" s="199" t="n">
        <x:v>46224.942662037036</x:v>
      </x:c>
      <x:c r="AA97" s="180" t="n">
        <x:v>0</x:v>
      </x:c>
      <x:c r="AB97" s="180" t="n">
        <x:v>1</x:v>
      </x:c>
      <x:c r="AC97" s="180" t="str">
        <x:v>Exact product-detail URL should be refreshed by the Playwright crawler; duplicate item-number rows are deduplicated by canonical SKU key. Public-source seed researched through 2026-07-21.</x:v>
      </x:c>
      <x:c r="AD97" s="186" t="str">
        <x:f>IF(OR(T97&lt;&gt;"Active",U97="Low",ISNUMBER(SEARCH("not publicly",V97)),ISNUMBER(SEARCH("review",T97))),"REVIEW","OK")</x:f>
        <x:v>OK</x:v>
      </x:c>
    </x:row>
    <x:row r="98">
      <x:c r="A98" s="185" t="str">
        <x:v>sku:100015061</x:v>
      </x:c>
      <x:c r="B98" s="180" t="str">
        <x:v>West Pharmaceutical Services, Inc.</x:v>
      </x:c>
      <x:c r="C98" s="180" t="str">
        <x:v>Parent / consolidated</x:v>
      </x:c>
      <x:c r="D98" s="180" t="str">
        <x:v>NovaPure</x:v>
      </x:c>
      <x:c r="E98" s="180" t="str">
        <x:v>Vial Containment Solutions</x:v>
      </x:c>
      <x:c r="F98" s="180" t="str">
        <x:v>Stoppers</x:v>
      </x:c>
      <x:c r="G98" s="180" t="str">
        <x:v>20mm NovaPure RU Chlorobutyl Serum Stoppers</x:v>
      </x:c>
      <x:c r="H98" s="180" t="str">
        <x:v>SKU</x:v>
      </x:c>
      <x:c r="I98" s="205" t="str">
        <x:v>100015061</x:v>
      </x:c>
      <x:c r="J98" s="180" t="str">
        <x:v>20mm</x:v>
      </x:c>
      <x:c r="K98" s="180" t="str">
        <x:v>20mm</x:v>
      </x:c>
      <x:c r="L98" s="180" t="str">
        <x:v>Chlorobutyl</x:v>
      </x:c>
      <x:c r="M98" s="180" t="str">
        <x:v>RU</x:v>
      </x:c>
      <x:c r="N98" s="180" t="str"/>
      <x:c r="O98" s="180" t="str"/>
      <x:c r="P98" s="180" t="str"/>
      <x:c r="Q98" s="180" t="str"/>
      <x:c r="R98" s="180" t="str">
        <x:v>Global / availability varies</x:v>
      </x:c>
      <x:c r="S98" s="180" t="str">
        <x:v>Observed in public West online-store indexing; account availability may differ</x:v>
      </x:c>
      <x:c r="T98" s="180" t="str">
        <x:v>Active</x:v>
      </x:c>
      <x:c r="U98" s="180" t="str">
        <x:v>High</x:v>
      </x:c>
      <x:c r="V98" s="180" t="str">
        <x:v>Public store SKU verified</x:v>
      </x:c>
      <x:c r="W98" s="180" t="str">
        <x:v>West Online Store indexed product page</x:v>
      </x:c>
      <x:c r="X98" s="180" t="str">
        <x:v>https://www.westpharma.com/online-store/all-products</x:v>
      </x:c>
      <x:c r="Y98" s="199" t="n">
        <x:v>46224.942662037036</x:v>
      </x:c>
      <x:c r="Z98" s="199" t="n">
        <x:v>46224.942662037036</x:v>
      </x:c>
      <x:c r="AA98" s="180" t="n">
        <x:v>0</x:v>
      </x:c>
      <x:c r="AB98" s="180" t="n">
        <x:v>1</x:v>
      </x:c>
      <x:c r="AC98" s="180" t="str">
        <x:v>Exact product-detail URL should be refreshed by the Playwright crawler; duplicate item-number rows are deduplicated by canonical SKU key. Public-source seed researched through 2026-07-21.</x:v>
      </x:c>
      <x:c r="AD98" s="186" t="str">
        <x:f>IF(OR(T98&lt;&gt;"Active",U98="Low",ISNUMBER(SEARCH("not publicly",V98)),ISNUMBER(SEARCH("review",T98))),"REVIEW","OK")</x:f>
        <x:v>OK</x:v>
      </x:c>
    </x:row>
    <x:row r="99">
      <x:c r="A99" s="185" t="str">
        <x:v>sku:10145417</x:v>
      </x:c>
      <x:c r="B99" s="180" t="str">
        <x:v>West Pharmaceutical Services, Inc.</x:v>
      </x:c>
      <x:c r="C99" s="180" t="str">
        <x:v>Parent / consolidated</x:v>
      </x:c>
      <x:c r="D99" s="180" t="str">
        <x:v>Westar Select</x:v>
      </x:c>
      <x:c r="E99" s="180" t="str">
        <x:v>Vial Containment Solutions</x:v>
      </x:c>
      <x:c r="F99" s="180" t="str">
        <x:v>Stoppers</x:v>
      </x:c>
      <x:c r="G99" s="180" t="str">
        <x:v>20mm Westar Select RS Serum Bromobutyl 4023/50 FluroTec Envision Stoppers</x:v>
      </x:c>
      <x:c r="H99" s="180" t="str">
        <x:v>SKU</x:v>
      </x:c>
      <x:c r="I99" s="205" t="str">
        <x:v>10145417</x:v>
      </x:c>
      <x:c r="J99" s="180" t="str">
        <x:v>20mm</x:v>
      </x:c>
      <x:c r="K99" s="180" t="str">
        <x:v>20mm</x:v>
      </x:c>
      <x:c r="L99" s="180" t="str">
        <x:v>Bromobutyl 4023/50</x:v>
      </x:c>
      <x:c r="M99" s="180" t="str">
        <x:v>Westar Select RS</x:v>
      </x:c>
      <x:c r="N99" s="180" t="str"/>
      <x:c r="O99" s="180" t="str"/>
      <x:c r="P99" s="180" t="str"/>
      <x:c r="Q99" s="180" t="str"/>
      <x:c r="R99" s="180" t="str">
        <x:v>Global / availability varies</x:v>
      </x:c>
      <x:c r="S99" s="180" t="str">
        <x:v>Observed in public West online-store indexing; account availability may differ</x:v>
      </x:c>
      <x:c r="T99" s="180" t="str">
        <x:v>Active</x:v>
      </x:c>
      <x:c r="U99" s="180" t="str">
        <x:v>High</x:v>
      </x:c>
      <x:c r="V99" s="180" t="str">
        <x:v>Public store SKU verified</x:v>
      </x:c>
      <x:c r="W99" s="180" t="str">
        <x:v>West Online Store indexed product page</x:v>
      </x:c>
      <x:c r="X99" s="180" t="str">
        <x:v>https://www.westpharma.com/online-store/all-products</x:v>
      </x:c>
      <x:c r="Y99" s="199" t="n">
        <x:v>46224.942662037036</x:v>
      </x:c>
      <x:c r="Z99" s="199" t="n">
        <x:v>46224.942662037036</x:v>
      </x:c>
      <x:c r="AA99" s="180" t="n">
        <x:v>0</x:v>
      </x:c>
      <x:c r="AB99" s="180" t="n">
        <x:v>1</x:v>
      </x:c>
      <x:c r="AC99" s="180" t="str">
        <x:v>Exact product-detail URL should be refreshed by the Playwright crawler; duplicate item-number rows are deduplicated by canonical SKU key. Public-source seed researched through 2026-07-21.</x:v>
      </x:c>
      <x:c r="AD99" s="186" t="str">
        <x:f>IF(OR(T99&lt;&gt;"Active",U99="Low",ISNUMBER(SEARCH("not publicly",V99)),ISNUMBER(SEARCH("review",T99))),"REVIEW","OK")</x:f>
        <x:v>OK</x:v>
      </x:c>
    </x:row>
    <x:row r="100">
      <x:c r="A100" s="185" t="str">
        <x:v>url:e91edfd1749b736e8750</x:v>
      </x:c>
      <x:c r="B100" s="180" t="str">
        <x:v>West Pharmaceutical Services, Inc.</x:v>
      </x:c>
      <x:c r="C100" s="180" t="str">
        <x:v>Parent / consolidated</x:v>
      </x:c>
      <x:c r="D100" s="180" t="str">
        <x:v>Westar Select</x:v>
      </x:c>
      <x:c r="E100" s="180" t="str">
        <x:v>Vial Containment Solutions</x:v>
      </x:c>
      <x:c r="F100" s="180" t="str">
        <x:v>Stoppers</x:v>
      </x:c>
      <x:c r="G100" s="180" t="str">
        <x:v>4031/45 Westar Select Stoppers for Animal Health</x:v>
      </x:c>
      <x:c r="H100" s="180" t="str">
        <x:v>Family</x:v>
      </x:c>
      <x:c r="I100" s="205" t="str"/>
      <x:c r="J100" s="180" t="str"/>
      <x:c r="K100" s="180" t="str"/>
      <x:c r="L100" s="180" t="str"/>
      <x:c r="M100" s="180" t="str"/>
      <x:c r="N100" s="180" t="str"/>
      <x:c r="O100" s="180" t="str"/>
      <x:c r="P100" s="180" t="str"/>
      <x:c r="Q100" s="180" t="str"/>
      <x:c r="R100" s="180" t="str">
        <x:v>Global / availability varies</x:v>
      </x:c>
      <x:c r="S100" s="180" t="str">
        <x:v>Contact West / account dependent</x:v>
      </x:c>
      <x:c r="T100" s="180" t="str">
        <x:v>Active</x:v>
      </x:c>
      <x:c r="U100" s="180" t="str">
        <x:v>High</x:v>
      </x:c>
      <x:c r="V100" s="180" t="str">
        <x:v>Public family verified</x:v>
      </x:c>
      <x:c r="W100" s="180" t="str">
        <x:v>West official website</x:v>
      </x:c>
      <x:c r="X100" s="180" t="str">
        <x:v>https://www.westpharma.com/products/vial-containment-solutions/stoppers</x:v>
      </x:c>
      <x:c r="Y100" s="199" t="n">
        <x:v>46224.942662037036</x:v>
      </x:c>
      <x:c r="Z100" s="199" t="n">
        <x:v>46224.942662037036</x:v>
      </x:c>
      <x:c r="AA100" s="180" t="n">
        <x:v>0</x:v>
      </x:c>
      <x:c r="AB100" s="180" t="n">
        <x:v>1</x:v>
      </x:c>
      <x:c r="AC100" s="180" t="str">
        <x:v>Public-source seed researched through 2026-07-21.</x:v>
      </x:c>
      <x:c r="AD100" s="186" t="str">
        <x:f>IF(OR(T100&lt;&gt;"Active",U100="Low",ISNUMBER(SEARCH("not publicly",V100)),ISNUMBER(SEARCH("review",T100))),"REVIEW","OK")</x:f>
        <x:v>OK</x:v>
      </x:c>
    </x:row>
    <x:row r="101">
      <x:c r="A101" s="185" t="str">
        <x:v>url:bb80e68544edc2951179</x:v>
      </x:c>
      <x:c r="B101" s="180" t="str">
        <x:v>West Pharmaceutical Services, Inc.</x:v>
      </x:c>
      <x:c r="C101" s="180" t="str">
        <x:v>Parent / consolidated</x:v>
      </x:c>
      <x:c r="D101" s="180" t="str">
        <x:v>LyoTec</x:v>
      </x:c>
      <x:c r="E101" s="180" t="str">
        <x:v>Vial Containment Solutions</x:v>
      </x:c>
      <x:c r="F101" s="180" t="str">
        <x:v>Stoppers</x:v>
      </x:c>
      <x:c r="G101" s="180" t="str">
        <x:v>4040 LyoTec Stoppers</x:v>
      </x:c>
      <x:c r="H101" s="180" t="str">
        <x:v>Family</x:v>
      </x:c>
      <x:c r="I101" s="205" t="str"/>
      <x:c r="J101" s="180" t="str"/>
      <x:c r="K101" s="180" t="str"/>
      <x:c r="L101" s="180" t="str"/>
      <x:c r="M101" s="180" t="str"/>
      <x:c r="N101" s="180" t="str"/>
      <x:c r="O101" s="180" t="str"/>
      <x:c r="P101" s="180" t="str"/>
      <x:c r="Q101" s="180" t="str"/>
      <x:c r="R101" s="180" t="str">
        <x:v>Global / availability varies</x:v>
      </x:c>
      <x:c r="S101" s="180" t="str">
        <x:v>Contact West / account dependent</x:v>
      </x:c>
      <x:c r="T101" s="180" t="str">
        <x:v>Active</x:v>
      </x:c>
      <x:c r="U101" s="180" t="str">
        <x:v>High</x:v>
      </x:c>
      <x:c r="V101" s="180" t="str">
        <x:v>Public family verified</x:v>
      </x:c>
      <x:c r="W101" s="180" t="str">
        <x:v>West official website</x:v>
      </x:c>
      <x:c r="X101" s="180" t="str">
        <x:v>https://www.westpharma.com/products/vial-containment-solutions/stoppers</x:v>
      </x:c>
      <x:c r="Y101" s="199" t="n">
        <x:v>46224.942662037036</x:v>
      </x:c>
      <x:c r="Z101" s="199" t="n">
        <x:v>46224.942662037036</x:v>
      </x:c>
      <x:c r="AA101" s="180" t="n">
        <x:v>0</x:v>
      </x:c>
      <x:c r="AB101" s="180" t="n">
        <x:v>1</x:v>
      </x:c>
      <x:c r="AC101" s="180" t="str">
        <x:v>Public-source seed researched through 2026-07-21.</x:v>
      </x:c>
      <x:c r="AD101" s="186" t="str">
        <x:f>IF(OR(T101&lt;&gt;"Active",U101="Low",ISNUMBER(SEARCH("not publicly",V101)),ISNUMBER(SEARCH("review",T101))),"REVIEW","OK")</x:f>
        <x:v>OK</x:v>
      </x:c>
    </x:row>
    <x:row r="102">
      <x:c r="A102" s="185" t="str">
        <x:v>url:f61a181bc08552de0c01</x:v>
      </x:c>
      <x:c r="B102" s="180" t="str">
        <x:v>West Pharmaceutical Services, Inc.</x:v>
      </x:c>
      <x:c r="C102" s="180" t="str">
        <x:v>Parent / consolidated</x:v>
      </x:c>
      <x:c r="D102" s="180" t="str">
        <x:v>Daikyo D Sigma</x:v>
      </x:c>
      <x:c r="E102" s="180" t="str">
        <x:v>Vial Containment Solutions</x:v>
      </x:c>
      <x:c r="F102" s="180" t="str">
        <x:v>Stoppers</x:v>
      </x:c>
      <x:c r="G102" s="180" t="str">
        <x:v>Daikyo D Sigma Stoppers</x:v>
      </x:c>
      <x:c r="H102" s="180" t="str">
        <x:v>Family</x:v>
      </x:c>
      <x:c r="I102" s="205" t="str"/>
      <x:c r="J102" s="180" t="str"/>
      <x:c r="K102" s="180" t="str"/>
      <x:c r="L102" s="180" t="str"/>
      <x:c r="M102" s="180" t="str"/>
      <x:c r="N102" s="180" t="str"/>
      <x:c r="O102" s="180" t="str"/>
      <x:c r="P102" s="180" t="str"/>
      <x:c r="Q102" s="180" t="str"/>
      <x:c r="R102" s="180" t="str">
        <x:v>Global / availability varies</x:v>
      </x:c>
      <x:c r="S102" s="180" t="str">
        <x:v>Contact West / account dependent</x:v>
      </x:c>
      <x:c r="T102" s="180" t="str">
        <x:v>Active</x:v>
      </x:c>
      <x:c r="U102" s="180" t="str">
        <x:v>High</x:v>
      </x:c>
      <x:c r="V102" s="180" t="str">
        <x:v>Public family verified</x:v>
      </x:c>
      <x:c r="W102" s="180" t="str">
        <x:v>West official website</x:v>
      </x:c>
      <x:c r="X102" s="180" t="str">
        <x:v>https://www.westpharma.com/products/vial-containment-solutions/stoppers</x:v>
      </x:c>
      <x:c r="Y102" s="199" t="n">
        <x:v>46224.942662037036</x:v>
      </x:c>
      <x:c r="Z102" s="199" t="n">
        <x:v>46224.942662037036</x:v>
      </x:c>
      <x:c r="AA102" s="180" t="n">
        <x:v>0</x:v>
      </x:c>
      <x:c r="AB102" s="180" t="n">
        <x:v>1</x:v>
      </x:c>
      <x:c r="AC102" s="180" t="str">
        <x:v>Public-source seed researched through 2026-07-21.</x:v>
      </x:c>
      <x:c r="AD102" s="186" t="str">
        <x:f>IF(OR(T102&lt;&gt;"Active",U102="Low",ISNUMBER(SEARCH("not publicly",V102)),ISNUMBER(SEARCH("review",T102))),"REVIEW","OK")</x:f>
        <x:v>OK</x:v>
      </x:c>
    </x:row>
    <x:row r="103">
      <x:c r="A103" s="185" t="str">
        <x:v>url:3a3fcc2dec7b131454dd</x:v>
      </x:c>
      <x:c r="B103" s="180" t="str">
        <x:v>West Pharmaceutical Services, Inc.</x:v>
      </x:c>
      <x:c r="C103" s="180" t="str">
        <x:v>Parent / consolidated</x:v>
      </x:c>
      <x:c r="D103" s="180" t="str">
        <x:v>Daikyo RUV / RSV</x:v>
      </x:c>
      <x:c r="E103" s="180" t="str">
        <x:v>Vial Containment Solutions</x:v>
      </x:c>
      <x:c r="F103" s="180" t="str">
        <x:v>Stoppers</x:v>
      </x:c>
      <x:c r="G103" s="180" t="str">
        <x:v>Daikyo RUV and RSV Stoppers</x:v>
      </x:c>
      <x:c r="H103" s="180" t="str">
        <x:v>Family</x:v>
      </x:c>
      <x:c r="I103" s="205" t="str"/>
      <x:c r="J103" s="180" t="str"/>
      <x:c r="K103" s="180" t="str"/>
      <x:c r="L103" s="180" t="str"/>
      <x:c r="M103" s="180" t="str"/>
      <x:c r="N103" s="180" t="str"/>
      <x:c r="O103" s="180" t="str"/>
      <x:c r="P103" s="180" t="str"/>
      <x:c r="Q103" s="180" t="str"/>
      <x:c r="R103" s="180" t="str">
        <x:v>Global / availability varies</x:v>
      </x:c>
      <x:c r="S103" s="180" t="str">
        <x:v>Contact West / account dependent</x:v>
      </x:c>
      <x:c r="T103" s="180" t="str">
        <x:v>Active</x:v>
      </x:c>
      <x:c r="U103" s="180" t="str">
        <x:v>High</x:v>
      </x:c>
      <x:c r="V103" s="180" t="str">
        <x:v>Public family verified</x:v>
      </x:c>
      <x:c r="W103" s="180" t="str">
        <x:v>West official website</x:v>
      </x:c>
      <x:c r="X103" s="180" t="str">
        <x:v>https://www.westpharma.com/products/vial-containment-solutions/stoppers</x:v>
      </x:c>
      <x:c r="Y103" s="199" t="n">
        <x:v>46224.942662037036</x:v>
      </x:c>
      <x:c r="Z103" s="199" t="n">
        <x:v>46224.942662037036</x:v>
      </x:c>
      <x:c r="AA103" s="180" t="n">
        <x:v>0</x:v>
      </x:c>
      <x:c r="AB103" s="180" t="n">
        <x:v>1</x:v>
      </x:c>
      <x:c r="AC103" s="180" t="str">
        <x:v>Public-source seed researched through 2026-07-21.</x:v>
      </x:c>
      <x:c r="AD103" s="186" t="str">
        <x:f>IF(OR(T103&lt;&gt;"Active",U103="Low",ISNUMBER(SEARCH("not publicly",V103)),ISNUMBER(SEARCH("review",T103))),"REVIEW","OK")</x:f>
        <x:v>OK</x:v>
      </x:c>
    </x:row>
    <x:row r="104">
      <x:c r="A104" s="185" t="str">
        <x:v>url:ad89c9d44ae22b9d734c</x:v>
      </x:c>
      <x:c r="B104" s="180" t="str">
        <x:v>West Pharmaceutical Services, Inc.</x:v>
      </x:c>
      <x:c r="C104" s="180" t="str">
        <x:v>Parent / consolidated</x:v>
      </x:c>
      <x:c r="D104" s="180" t="str">
        <x:v>Envision</x:v>
      </x:c>
      <x:c r="E104" s="180" t="str">
        <x:v>Vial Containment Solutions</x:v>
      </x:c>
      <x:c r="F104" s="180" t="str">
        <x:v>Stoppers</x:v>
      </x:c>
      <x:c r="G104" s="180" t="str">
        <x:v>Envision Verified Stoppers</x:v>
      </x:c>
      <x:c r="H104" s="180" t="str">
        <x:v>Family</x:v>
      </x:c>
      <x:c r="I104" s="205" t="str"/>
      <x:c r="J104" s="180" t="str"/>
      <x:c r="K104" s="180" t="str"/>
      <x:c r="L104" s="180" t="str"/>
      <x:c r="M104" s="180" t="str"/>
      <x:c r="N104" s="180" t="str"/>
      <x:c r="O104" s="180" t="str"/>
      <x:c r="P104" s="180" t="str"/>
      <x:c r="Q104" s="180" t="str"/>
      <x:c r="R104" s="180" t="str">
        <x:v>Global / availability varies</x:v>
      </x:c>
      <x:c r="S104" s="180" t="str">
        <x:v>Contact West / account dependent</x:v>
      </x:c>
      <x:c r="T104" s="180" t="str">
        <x:v>Active</x:v>
      </x:c>
      <x:c r="U104" s="180" t="str">
        <x:v>High</x:v>
      </x:c>
      <x:c r="V104" s="180" t="str">
        <x:v>Public family verified</x:v>
      </x:c>
      <x:c r="W104" s="180" t="str">
        <x:v>West official website</x:v>
      </x:c>
      <x:c r="X104" s="180" t="str">
        <x:v>https://www.westpharma.com/products/vial-containment-solutions/stoppers</x:v>
      </x:c>
      <x:c r="Y104" s="199" t="n">
        <x:v>46224.942662037036</x:v>
      </x:c>
      <x:c r="Z104" s="199" t="n">
        <x:v>46224.942662037036</x:v>
      </x:c>
      <x:c r="AA104" s="180" t="n">
        <x:v>0</x:v>
      </x:c>
      <x:c r="AB104" s="180" t="n">
        <x:v>1</x:v>
      </x:c>
      <x:c r="AC104" s="180" t="str">
        <x:v>Public-source seed researched through 2026-07-21.</x:v>
      </x:c>
      <x:c r="AD104" s="186" t="str">
        <x:f>IF(OR(T104&lt;&gt;"Active",U104="Low",ISNUMBER(SEARCH("not publicly",V104)),ISNUMBER(SEARCH("review",T104))),"REVIEW","OK")</x:f>
        <x:v>OK</x:v>
      </x:c>
    </x:row>
    <x:row r="105">
      <x:c r="A105" s="185" t="str">
        <x:v>url:ebd54f8baadb894107a7</x:v>
      </x:c>
      <x:c r="B105" s="180" t="str">
        <x:v>West Pharmaceutical Services, Inc.</x:v>
      </x:c>
      <x:c r="C105" s="180" t="str">
        <x:v>Parent / consolidated</x:v>
      </x:c>
      <x:c r="D105" s="180" t="str">
        <x:v>FluroTec</x:v>
      </x:c>
      <x:c r="E105" s="180" t="str">
        <x:v>Vial Containment Solutions</x:v>
      </x:c>
      <x:c r="F105" s="180" t="str">
        <x:v>Stoppers</x:v>
      </x:c>
      <x:c r="G105" s="180" t="str">
        <x:v>FluroTec Barrier Film Stoppers</x:v>
      </x:c>
      <x:c r="H105" s="180" t="str">
        <x:v>Family</x:v>
      </x:c>
      <x:c r="I105" s="205" t="str"/>
      <x:c r="J105" s="180" t="str"/>
      <x:c r="K105" s="180" t="str"/>
      <x:c r="L105" s="180" t="str"/>
      <x:c r="M105" s="180" t="str"/>
      <x:c r="N105" s="180" t="str"/>
      <x:c r="O105" s="180" t="str"/>
      <x:c r="P105" s="180" t="str"/>
      <x:c r="Q105" s="180" t="str"/>
      <x:c r="R105" s="180" t="str">
        <x:v>Global / availability varies</x:v>
      </x:c>
      <x:c r="S105" s="180" t="str">
        <x:v>Contact West / account dependent</x:v>
      </x:c>
      <x:c r="T105" s="180" t="str">
        <x:v>Active</x:v>
      </x:c>
      <x:c r="U105" s="180" t="str">
        <x:v>High</x:v>
      </x:c>
      <x:c r="V105" s="180" t="str">
        <x:v>Public family verified</x:v>
      </x:c>
      <x:c r="W105" s="180" t="str">
        <x:v>West official website</x:v>
      </x:c>
      <x:c r="X105" s="180" t="str">
        <x:v>https://www.westpharma.com/products/vial-containment-solutions/stoppers</x:v>
      </x:c>
      <x:c r="Y105" s="199" t="n">
        <x:v>46224.942662037036</x:v>
      </x:c>
      <x:c r="Z105" s="199" t="n">
        <x:v>46224.942662037036</x:v>
      </x:c>
      <x:c r="AA105" s="180" t="n">
        <x:v>0</x:v>
      </x:c>
      <x:c r="AB105" s="180" t="n">
        <x:v>1</x:v>
      </x:c>
      <x:c r="AC105" s="180" t="str">
        <x:v>Public-source seed researched through 2026-07-21.</x:v>
      </x:c>
      <x:c r="AD105" s="186" t="str">
        <x:f>IF(OR(T105&lt;&gt;"Active",U105="Low",ISNUMBER(SEARCH("not publicly",V105)),ISNUMBER(SEARCH("review",T105))),"REVIEW","OK")</x:f>
        <x:v>OK</x:v>
      </x:c>
    </x:row>
    <x:row r="106">
      <x:c r="A106" s="185" t="str">
        <x:v>url:67426e2eacf1b0ca2239</x:v>
      </x:c>
      <x:c r="B106" s="180" t="str">
        <x:v>West Pharmaceutical Services, Inc.</x:v>
      </x:c>
      <x:c r="C106" s="180" t="str">
        <x:v>Parent / consolidated</x:v>
      </x:c>
      <x:c r="D106" s="180" t="str">
        <x:v>LyoTec</x:v>
      </x:c>
      <x:c r="E106" s="180" t="str">
        <x:v>Vial Containment Solutions</x:v>
      </x:c>
      <x:c r="F106" s="180" t="str">
        <x:v>Stoppers</x:v>
      </x:c>
      <x:c r="G106" s="180" t="str">
        <x:v>LyoTec Stoppers</x:v>
      </x:c>
      <x:c r="H106" s="180" t="str">
        <x:v>Family</x:v>
      </x:c>
      <x:c r="I106" s="205" t="str"/>
      <x:c r="J106" s="180" t="str"/>
      <x:c r="K106" s="180" t="str"/>
      <x:c r="L106" s="180" t="str"/>
      <x:c r="M106" s="180" t="str"/>
      <x:c r="N106" s="180" t="str"/>
      <x:c r="O106" s="180" t="str"/>
      <x:c r="P106" s="180" t="str"/>
      <x:c r="Q106" s="180" t="str"/>
      <x:c r="R106" s="180" t="str">
        <x:v>Global / availability varies</x:v>
      </x:c>
      <x:c r="S106" s="180" t="str">
        <x:v>Contact West / account dependent</x:v>
      </x:c>
      <x:c r="T106" s="180" t="str">
        <x:v>Active</x:v>
      </x:c>
      <x:c r="U106" s="180" t="str">
        <x:v>High</x:v>
      </x:c>
      <x:c r="V106" s="180" t="str">
        <x:v>Public family verified</x:v>
      </x:c>
      <x:c r="W106" s="180" t="str">
        <x:v>West official website</x:v>
      </x:c>
      <x:c r="X106" s="180" t="str">
        <x:v>https://www.westpharma.com/products/vial-containment-solutions/stoppers</x:v>
      </x:c>
      <x:c r="Y106" s="199" t="n">
        <x:v>46224.942662037036</x:v>
      </x:c>
      <x:c r="Z106" s="199" t="n">
        <x:v>46224.942662037036</x:v>
      </x:c>
      <x:c r="AA106" s="180" t="n">
        <x:v>0</x:v>
      </x:c>
      <x:c r="AB106" s="180" t="n">
        <x:v>1</x:v>
      </x:c>
      <x:c r="AC106" s="180" t="str">
        <x:v>Public-source seed researched through 2026-07-21.</x:v>
      </x:c>
      <x:c r="AD106" s="186" t="str">
        <x:f>IF(OR(T106&lt;&gt;"Active",U106="Low",ISNUMBER(SEARCH("not publicly",V106)),ISNUMBER(SEARCH("review",T106))),"REVIEW","OK")</x:f>
        <x:v>OK</x:v>
      </x:c>
    </x:row>
    <x:row r="107">
      <x:c r="A107" s="185" t="str">
        <x:v>sku:19700360</x:v>
      </x:c>
      <x:c r="B107" s="180" t="str">
        <x:v>West Pharmaceutical Services, Inc.</x:v>
      </x:c>
      <x:c r="C107" s="180" t="str">
        <x:v>Parent / consolidated</x:v>
      </x:c>
      <x:c r="D107" s="180" t="str">
        <x:v>NovaPure</x:v>
      </x:c>
      <x:c r="E107" s="180" t="str">
        <x:v>Vial Containment Solutions</x:v>
      </x:c>
      <x:c r="F107" s="180" t="str">
        <x:v>Stoppers</x:v>
      </x:c>
      <x:c r="G107" s="180" t="str">
        <x:v>NovaPure Serum Stopper 13mm 4023/50 Gray</x:v>
      </x:c>
      <x:c r="H107" s="180" t="str">
        <x:v>SKU</x:v>
      </x:c>
      <x:c r="I107" s="205" t="str">
        <x:v>1970-0360</x:v>
      </x:c>
      <x:c r="J107" s="180" t="str"/>
      <x:c r="K107" s="180" t="str">
        <x:v>13mm</x:v>
      </x:c>
      <x:c r="L107" s="180" t="str">
        <x:v>Bromobutyl 4023/50 gray</x:v>
      </x:c>
      <x:c r="M107" s="180" t="str">
        <x:v>Ready-to-use sterilized</x:v>
      </x:c>
      <x:c r="N107" s="180" t="str">
        <x:v>FluroTec</x:v>
      </x:c>
      <x:c r="O107" s="180" t="str">
        <x:v>100% Envision</x:v>
      </x:c>
      <x:c r="P107" s="180" t="str">
        <x:v>Double STERILizableBAG</x:v>
      </x:c>
      <x:c r="Q107" s="180" t="str">
        <x:v>1,000 pieces</x:v>
      </x:c>
      <x:c r="R107" s="180" t="str">
        <x:v>Global / availability varies</x:v>
      </x:c>
      <x:c r="S107" s="180" t="str">
        <x:v>Publicly documented ready-to-use item</x:v>
      </x:c>
      <x:c r="T107" s="180" t="str">
        <x:v>Active</x:v>
      </x:c>
      <x:c r="U107" s="180" t="str">
        <x:v>High</x:v>
      </x:c>
      <x:c r="V107" s="180" t="str">
        <x:v>Official PDF SKU verified</x:v>
      </x:c>
      <x:c r="W107" s="180" t="str">
        <x:v>West compounding pharmacy information sheet</x:v>
      </x:c>
      <x:c r="X107" s="180" t="str">
        <x:v>https://westpharma.com/-/media/WestPharma/Files/Products/Compounding-Pharmacy-information-sheet.pdf</x:v>
      </x:c>
      <x:c r="Y107" s="199" t="n">
        <x:v>46224.942662037036</x:v>
      </x:c>
      <x:c r="Z107" s="199" t="n">
        <x:v>46224.942662037036</x:v>
      </x:c>
      <x:c r="AA107" s="180" t="n">
        <x:v>0</x:v>
      </x:c>
      <x:c r="AB107" s="180" t="n">
        <x:v>1</x:v>
      </x:c>
      <x:c r="AC107" s="180" t="str">
        <x:v>Public-source seed researched through 2026-07-21.</x:v>
      </x:c>
      <x:c r="AD107" s="186" t="str">
        <x:f>IF(OR(T107&lt;&gt;"Active",U107="Low",ISNUMBER(SEARCH("not publicly",V107)),ISNUMBER(SEARCH("review",T107))),"REVIEW","OK")</x:f>
        <x:v>OK</x:v>
      </x:c>
    </x:row>
    <x:row r="108">
      <x:c r="A108" s="185" t="str">
        <x:v>sku:19700361</x:v>
      </x:c>
      <x:c r="B108" s="180" t="str">
        <x:v>West Pharmaceutical Services, Inc.</x:v>
      </x:c>
      <x:c r="C108" s="180" t="str">
        <x:v>Parent / consolidated</x:v>
      </x:c>
      <x:c r="D108" s="180" t="str">
        <x:v>NovaPure</x:v>
      </x:c>
      <x:c r="E108" s="180" t="str">
        <x:v>Vial Containment Solutions</x:v>
      </x:c>
      <x:c r="F108" s="180" t="str">
        <x:v>Stoppers</x:v>
      </x:c>
      <x:c r="G108" s="180" t="str">
        <x:v>NovaPure Serum Stopper 20mm 4023/50 Gray</x:v>
      </x:c>
      <x:c r="H108" s="180" t="str">
        <x:v>SKU</x:v>
      </x:c>
      <x:c r="I108" s="205" t="str">
        <x:v>1970-0361</x:v>
      </x:c>
      <x:c r="J108" s="180" t="str"/>
      <x:c r="K108" s="180" t="str">
        <x:v>20mm</x:v>
      </x:c>
      <x:c r="L108" s="180" t="str">
        <x:v>Bromobutyl 4023/50 gray</x:v>
      </x:c>
      <x:c r="M108" s="180" t="str">
        <x:v>Ready-to-use sterilized</x:v>
      </x:c>
      <x:c r="N108" s="180" t="str">
        <x:v>FluroTec</x:v>
      </x:c>
      <x:c r="O108" s="180" t="str">
        <x:v>100% Envision</x:v>
      </x:c>
      <x:c r="P108" s="180" t="str">
        <x:v>Double STERILizableBAG</x:v>
      </x:c>
      <x:c r="Q108" s="180" t="str">
        <x:v>500 pieces</x:v>
      </x:c>
      <x:c r="R108" s="180" t="str">
        <x:v>Global / availability varies</x:v>
      </x:c>
      <x:c r="S108" s="180" t="str">
        <x:v>Publicly documented ready-to-use item</x:v>
      </x:c>
      <x:c r="T108" s="180" t="str">
        <x:v>Active</x:v>
      </x:c>
      <x:c r="U108" s="180" t="str">
        <x:v>High</x:v>
      </x:c>
      <x:c r="V108" s="180" t="str">
        <x:v>Official PDF SKU verified</x:v>
      </x:c>
      <x:c r="W108" s="180" t="str">
        <x:v>West compounding pharmacy information sheet</x:v>
      </x:c>
      <x:c r="X108" s="180" t="str">
        <x:v>https://westpharma.com/-/media/WestPharma/Files/Products/Compounding-Pharmacy-information-sheet.pdf</x:v>
      </x:c>
      <x:c r="Y108" s="199" t="n">
        <x:v>46224.942662037036</x:v>
      </x:c>
      <x:c r="Z108" s="199" t="n">
        <x:v>46224.942662037036</x:v>
      </x:c>
      <x:c r="AA108" s="180" t="n">
        <x:v>0</x:v>
      </x:c>
      <x:c r="AB108" s="180" t="n">
        <x:v>1</x:v>
      </x:c>
      <x:c r="AC108" s="180" t="str">
        <x:v>Public-source seed researched through 2026-07-21.</x:v>
      </x:c>
      <x:c r="AD108" s="186" t="str">
        <x:f>IF(OR(T108&lt;&gt;"Active",U108="Low",ISNUMBER(SEARCH("not publicly",V108)),ISNUMBER(SEARCH("review",T108))),"REVIEW","OK")</x:f>
        <x:v>OK</x:v>
      </x:c>
    </x:row>
    <x:row r="109">
      <x:c r="A109" s="185" t="str">
        <x:v>url:67f8da71c3a530332b0b</x:v>
      </x:c>
      <x:c r="B109" s="180" t="str">
        <x:v>West Pharmaceutical Services, Inc.</x:v>
      </x:c>
      <x:c r="C109" s="180" t="str">
        <x:v>Parent / consolidated</x:v>
      </x:c>
      <x:c r="D109" s="180" t="str">
        <x:v>NovaPure</x:v>
      </x:c>
      <x:c r="E109" s="180" t="str">
        <x:v>Vial Containment Solutions</x:v>
      </x:c>
      <x:c r="F109" s="180" t="str">
        <x:v>Stoppers</x:v>
      </x:c>
      <x:c r="G109" s="180" t="str">
        <x:v>NovaPure Stoppers</x:v>
      </x:c>
      <x:c r="H109" s="180" t="str">
        <x:v>Family</x:v>
      </x:c>
      <x:c r="I109" s="205" t="str"/>
      <x:c r="J109" s="180" t="str"/>
      <x:c r="K109" s="180" t="str"/>
      <x:c r="L109" s="180" t="str"/>
      <x:c r="M109" s="180" t="str"/>
      <x:c r="N109" s="180" t="str"/>
      <x:c r="O109" s="180" t="str"/>
      <x:c r="P109" s="180" t="str"/>
      <x:c r="Q109" s="180" t="str"/>
      <x:c r="R109" s="180" t="str">
        <x:v>Global / availability varies</x:v>
      </x:c>
      <x:c r="S109" s="180" t="str">
        <x:v>Contact West / account dependent</x:v>
      </x:c>
      <x:c r="T109" s="180" t="str">
        <x:v>Active</x:v>
      </x:c>
      <x:c r="U109" s="180" t="str">
        <x:v>High</x:v>
      </x:c>
      <x:c r="V109" s="180" t="str">
        <x:v>Public family verified</x:v>
      </x:c>
      <x:c r="W109" s="180" t="str">
        <x:v>West official website</x:v>
      </x:c>
      <x:c r="X109" s="180" t="str">
        <x:v>https://www.westpharma.com/products/vial-containment-solutions/stoppers</x:v>
      </x:c>
      <x:c r="Y109" s="199" t="n">
        <x:v>46224.942662037036</x:v>
      </x:c>
      <x:c r="Z109" s="199" t="n">
        <x:v>46224.942662037036</x:v>
      </x:c>
      <x:c r="AA109" s="180" t="n">
        <x:v>0</x:v>
      </x:c>
      <x:c r="AB109" s="180" t="n">
        <x:v>1</x:v>
      </x:c>
      <x:c r="AC109" s="180" t="str">
        <x:v>Public-source seed researched through 2026-07-21.</x:v>
      </x:c>
      <x:c r="AD109" s="186" t="str">
        <x:f>IF(OR(T109&lt;&gt;"Active",U109="Low",ISNUMBER(SEARCH("not publicly",V109)),ISNUMBER(SEARCH("review",T109))),"REVIEW","OK")</x:f>
        <x:v>OK</x:v>
      </x:c>
    </x:row>
    <x:row r="110">
      <x:c r="A110" s="185" t="str">
        <x:v>url:a95986b4092a6d1c3df3</x:v>
      </x:c>
      <x:c r="B110" s="180" t="str">
        <x:v>West Pharmaceutical Services, Inc.</x:v>
      </x:c>
      <x:c r="C110" s="180" t="str">
        <x:v>Parent / consolidated</x:v>
      </x:c>
      <x:c r="D110" s="180" t="str">
        <x:v>Westar</x:v>
      </x:c>
      <x:c r="E110" s="180" t="str">
        <x:v>Vial Containment Solutions</x:v>
      </x:c>
      <x:c r="F110" s="180" t="str">
        <x:v>Stoppers</x:v>
      </x:c>
      <x:c r="G110" s="180" t="str">
        <x:v>Stoppers with Westar Quality Level</x:v>
      </x:c>
      <x:c r="H110" s="180" t="str">
        <x:v>Family</x:v>
      </x:c>
      <x:c r="I110" s="205" t="str"/>
      <x:c r="J110" s="180" t="str"/>
      <x:c r="K110" s="180" t="str"/>
      <x:c r="L110" s="180" t="str"/>
      <x:c r="M110" s="180" t="str"/>
      <x:c r="N110" s="180" t="str"/>
      <x:c r="O110" s="180" t="str"/>
      <x:c r="P110" s="180" t="str"/>
      <x:c r="Q110" s="180" t="str"/>
      <x:c r="R110" s="180" t="str">
        <x:v>Global / availability varies</x:v>
      </x:c>
      <x:c r="S110" s="180" t="str">
        <x:v>Contact West / account dependent</x:v>
      </x:c>
      <x:c r="T110" s="180" t="str">
        <x:v>Active</x:v>
      </x:c>
      <x:c r="U110" s="180" t="str">
        <x:v>High</x:v>
      </x:c>
      <x:c r="V110" s="180" t="str">
        <x:v>Public family verified</x:v>
      </x:c>
      <x:c r="W110" s="180" t="str">
        <x:v>West official website</x:v>
      </x:c>
      <x:c r="X110" s="180" t="str">
        <x:v>https://www.westpharma.com/products/vial-containment-solutions/stoppers</x:v>
      </x:c>
      <x:c r="Y110" s="199" t="n">
        <x:v>46224.942662037036</x:v>
      </x:c>
      <x:c r="Z110" s="199" t="n">
        <x:v>46224.942662037036</x:v>
      </x:c>
      <x:c r="AA110" s="180" t="n">
        <x:v>0</x:v>
      </x:c>
      <x:c r="AB110" s="180" t="n">
        <x:v>1</x:v>
      </x:c>
      <x:c r="AC110" s="180" t="str">
        <x:v>Public-source seed researched through 2026-07-21.</x:v>
      </x:c>
      <x:c r="AD110" s="186" t="str">
        <x:f>IF(OR(T110&lt;&gt;"Active",U110="Low",ISNUMBER(SEARCH("not publicly",V110)),ISNUMBER(SEARCH("review",T110))),"REVIEW","OK")</x:f>
        <x:v>OK</x:v>
      </x:c>
    </x:row>
    <x:row r="111">
      <x:c r="A111" s="185" t="str">
        <x:v>url:e75f7245b06fe1f52a33</x:v>
      </x:c>
      <x:c r="B111" s="180" t="str">
        <x:v>West Pharmaceutical Services, Inc.</x:v>
      </x:c>
      <x:c r="C111" s="180" t="str">
        <x:v>Parent / consolidated</x:v>
      </x:c>
      <x:c r="D111" s="180" t="str">
        <x:v>Westar Select</x:v>
      </x:c>
      <x:c r="E111" s="180" t="str">
        <x:v>Vial Containment Solutions</x:v>
      </x:c>
      <x:c r="F111" s="180" t="str">
        <x:v>Stoppers</x:v>
      </x:c>
      <x:c r="G111" s="180" t="str">
        <x:v>Stoppers with Westar Select Quality Level</x:v>
      </x:c>
      <x:c r="H111" s="180" t="str">
        <x:v>Family</x:v>
      </x:c>
      <x:c r="I111" s="205" t="str"/>
      <x:c r="J111" s="180" t="str"/>
      <x:c r="K111" s="180" t="str"/>
      <x:c r="L111" s="180" t="str"/>
      <x:c r="M111" s="180" t="str"/>
      <x:c r="N111" s="180" t="str"/>
      <x:c r="O111" s="180" t="str"/>
      <x:c r="P111" s="180" t="str"/>
      <x:c r="Q111" s="180" t="str"/>
      <x:c r="R111" s="180" t="str">
        <x:v>Global / availability varies</x:v>
      </x:c>
      <x:c r="S111" s="180" t="str">
        <x:v>Contact West / account dependent</x:v>
      </x:c>
      <x:c r="T111" s="180" t="str">
        <x:v>Active</x:v>
      </x:c>
      <x:c r="U111" s="180" t="str">
        <x:v>High</x:v>
      </x:c>
      <x:c r="V111" s="180" t="str">
        <x:v>Public family verified</x:v>
      </x:c>
      <x:c r="W111" s="180" t="str">
        <x:v>West official website</x:v>
      </x:c>
      <x:c r="X111" s="180" t="str">
        <x:v>https://www.westpharma.com/products/vial-containment-solutions/stoppers</x:v>
      </x:c>
      <x:c r="Y111" s="199" t="n">
        <x:v>46224.942662037036</x:v>
      </x:c>
      <x:c r="Z111" s="199" t="n">
        <x:v>46224.942662037036</x:v>
      </x:c>
      <x:c r="AA111" s="180" t="n">
        <x:v>0</x:v>
      </x:c>
      <x:c r="AB111" s="180" t="n">
        <x:v>1</x:v>
      </x:c>
      <x:c r="AC111" s="180" t="str">
        <x:v>Public-source seed researched through 2026-07-21.</x:v>
      </x:c>
      <x:c r="AD111" s="186" t="str">
        <x:f>IF(OR(T111&lt;&gt;"Active",U111="Low",ISNUMBER(SEARCH("not publicly",V111)),ISNUMBER(SEARCH("review",T111))),"REVIEW","OK")</x:f>
        <x:v>OK</x:v>
      </x:c>
    </x:row>
    <x:row r="112">
      <x:c r="A112" s="185" t="str">
        <x:v>sku:100012585</x:v>
      </x:c>
      <x:c r="B112" s="180" t="str">
        <x:v>West Pharmaceutical Services, Inc.</x:v>
      </x:c>
      <x:c r="C112" s="180" t="str">
        <x:v>Parent / consolidated</x:v>
      </x:c>
      <x:c r="D112" s="180" t="str">
        <x:v>Corning Valor</x:v>
      </x:c>
      <x:c r="E112" s="180" t="str">
        <x:v>Vial Containment Solutions</x:v>
      </x:c>
      <x:c r="F112" s="180" t="str">
        <x:v>Vials</x:v>
      </x:c>
      <x:c r="G112" s="180" t="str">
        <x:v>Corning Valor 10R RTU Vials</x:v>
      </x:c>
      <x:c r="H112" s="180" t="str">
        <x:v>SKU</x:v>
      </x:c>
      <x:c r="I112" s="205" t="str">
        <x:v>100012585</x:v>
      </x:c>
      <x:c r="J112" s="180" t="str">
        <x:v>10R</x:v>
      </x:c>
      <x:c r="K112" s="180" t="str"/>
      <x:c r="L112" s="180" t="str">
        <x:v>Glass</x:v>
      </x:c>
      <x:c r="M112" s="180" t="str">
        <x:v>RTU</x:v>
      </x:c>
      <x:c r="N112" s="180" t="str"/>
      <x:c r="O112" s="180" t="str"/>
      <x:c r="P112" s="180" t="str"/>
      <x:c r="Q112" s="180" t="str"/>
      <x:c r="R112" s="180" t="str">
        <x:v>Global / availability varies</x:v>
      </x:c>
      <x:c r="S112" s="180" t="str">
        <x:v>Observed in public West online-store indexing; account availability may differ</x:v>
      </x:c>
      <x:c r="T112" s="180" t="str">
        <x:v>Active</x:v>
      </x:c>
      <x:c r="U112" s="180" t="str">
        <x:v>High</x:v>
      </x:c>
      <x:c r="V112" s="180" t="str">
        <x:v>Public store SKU verified</x:v>
      </x:c>
      <x:c r="W112" s="180" t="str">
        <x:v>West Online Store indexed product page</x:v>
      </x:c>
      <x:c r="X112" s="180" t="str">
        <x:v>https://www.westpharma.com/online-store/all-products</x:v>
      </x:c>
      <x:c r="Y112" s="199" t="n">
        <x:v>46224.942662037036</x:v>
      </x:c>
      <x:c r="Z112" s="199" t="n">
        <x:v>46224.942662037036</x:v>
      </x:c>
      <x:c r="AA112" s="180" t="n">
        <x:v>0</x:v>
      </x:c>
      <x:c r="AB112" s="180" t="n">
        <x:v>1</x:v>
      </x:c>
      <x:c r="AC112" s="180" t="str">
        <x:v>Exact product-detail URL should be refreshed by the Playwright crawler; duplicate item-number rows are deduplicated by canonical SKU key. Public-source seed researched through 2026-07-21.</x:v>
      </x:c>
      <x:c r="AD112" s="186" t="str">
        <x:f>IF(OR(T112&lt;&gt;"Active",U112="Low",ISNUMBER(SEARCH("not publicly",V112)),ISNUMBER(SEARCH("review",T112))),"REVIEW","OK")</x:f>
        <x:v>OK</x:v>
      </x:c>
    </x:row>
    <x:row r="113">
      <x:c r="A113" s="185" t="str">
        <x:v>sku:100012682</x:v>
      </x:c>
      <x:c r="B113" s="180" t="str">
        <x:v>West Pharmaceutical Services, Inc.</x:v>
      </x:c>
      <x:c r="C113" s="180" t="str">
        <x:v>Parent / consolidated</x:v>
      </x:c>
      <x:c r="D113" s="180" t="str">
        <x:v>Corning Valor</x:v>
      </x:c>
      <x:c r="E113" s="180" t="str">
        <x:v>Vial Containment Solutions</x:v>
      </x:c>
      <x:c r="F113" s="180" t="str">
        <x:v>Vials</x:v>
      </x:c>
      <x:c r="G113" s="180" t="str">
        <x:v>Corning Valor 20R RTU Vials</x:v>
      </x:c>
      <x:c r="H113" s="180" t="str">
        <x:v>SKU</x:v>
      </x:c>
      <x:c r="I113" s="205" t="str">
        <x:v>100012682</x:v>
      </x:c>
      <x:c r="J113" s="180" t="str">
        <x:v>20R</x:v>
      </x:c>
      <x:c r="K113" s="180" t="str"/>
      <x:c r="L113" s="180" t="str">
        <x:v>Glass</x:v>
      </x:c>
      <x:c r="M113" s="180" t="str">
        <x:v>RTU</x:v>
      </x:c>
      <x:c r="N113" s="180" t="str"/>
      <x:c r="O113" s="180" t="str"/>
      <x:c r="P113" s="180" t="str"/>
      <x:c r="Q113" s="180" t="str"/>
      <x:c r="R113" s="180" t="str">
        <x:v>Global / availability varies</x:v>
      </x:c>
      <x:c r="S113" s="180" t="str">
        <x:v>Observed in public West online-store indexing; account availability may differ</x:v>
      </x:c>
      <x:c r="T113" s="180" t="str">
        <x:v>Active</x:v>
      </x:c>
      <x:c r="U113" s="180" t="str">
        <x:v>High</x:v>
      </x:c>
      <x:c r="V113" s="180" t="str">
        <x:v>Public store SKU verified</x:v>
      </x:c>
      <x:c r="W113" s="180" t="str">
        <x:v>West Online Store indexed product page</x:v>
      </x:c>
      <x:c r="X113" s="180" t="str">
        <x:v>https://www.westpharma.com/online-store/all-products</x:v>
      </x:c>
      <x:c r="Y113" s="199" t="n">
        <x:v>46224.942662037036</x:v>
      </x:c>
      <x:c r="Z113" s="199" t="n">
        <x:v>46224.942662037036</x:v>
      </x:c>
      <x:c r="AA113" s="180" t="n">
        <x:v>0</x:v>
      </x:c>
      <x:c r="AB113" s="180" t="n">
        <x:v>1</x:v>
      </x:c>
      <x:c r="AC113" s="180" t="str">
        <x:v>Exact product-detail URL should be refreshed by the Playwright crawler; duplicate item-number rows are deduplicated by canonical SKU key. Public-source seed researched through 2026-07-21.</x:v>
      </x:c>
      <x:c r="AD113" s="186" t="str">
        <x:f>IF(OR(T113&lt;&gt;"Active",U113="Low",ISNUMBER(SEARCH("not publicly",V113)),ISNUMBER(SEARCH("review",T113))),"REVIEW","OK")</x:f>
        <x:v>OK</x:v>
      </x:c>
    </x:row>
    <x:row r="114">
      <x:c r="A114" s="185" t="str">
        <x:v>sku:100012900</x:v>
      </x:c>
      <x:c r="B114" s="180" t="str">
        <x:v>West Pharmaceutical Services, Inc.</x:v>
      </x:c>
      <x:c r="C114" s="180" t="str">
        <x:v>Parent / consolidated</x:v>
      </x:c>
      <x:c r="D114" s="180" t="str">
        <x:v>Corning Valor</x:v>
      </x:c>
      <x:c r="E114" s="180" t="str">
        <x:v>Vial Containment Solutions</x:v>
      </x:c>
      <x:c r="F114" s="180" t="str">
        <x:v>Vials</x:v>
      </x:c>
      <x:c r="G114" s="180" t="str">
        <x:v>Corning Valor 2R Bulk Vials Tray</x:v>
      </x:c>
      <x:c r="H114" s="180" t="str">
        <x:v>SKU</x:v>
      </x:c>
      <x:c r="I114" s="205" t="str">
        <x:v>100012900</x:v>
      </x:c>
      <x:c r="J114" s="180" t="str">
        <x:v>2R</x:v>
      </x:c>
      <x:c r="K114" s="180" t="str"/>
      <x:c r="L114" s="180" t="str">
        <x:v>Glass</x:v>
      </x:c>
      <x:c r="M114" s="180" t="str">
        <x:v>Bulk</x:v>
      </x:c>
      <x:c r="N114" s="180" t="str"/>
      <x:c r="O114" s="180" t="str"/>
      <x:c r="P114" s="180" t="str"/>
      <x:c r="Q114" s="180" t="str"/>
      <x:c r="R114" s="180" t="str">
        <x:v>Global / availability varies</x:v>
      </x:c>
      <x:c r="S114" s="180" t="str">
        <x:v>Observed in public West online-store indexing; account availability may differ</x:v>
      </x:c>
      <x:c r="T114" s="180" t="str">
        <x:v>Active</x:v>
      </x:c>
      <x:c r="U114" s="180" t="str">
        <x:v>High</x:v>
      </x:c>
      <x:c r="V114" s="180" t="str">
        <x:v>Public store SKU verified</x:v>
      </x:c>
      <x:c r="W114" s="180" t="str">
        <x:v>West Online Store indexed product page</x:v>
      </x:c>
      <x:c r="X114" s="180" t="str">
        <x:v>https://www.westpharma.com/online-store/all-products</x:v>
      </x:c>
      <x:c r="Y114" s="199" t="n">
        <x:v>46224.942662037036</x:v>
      </x:c>
      <x:c r="Z114" s="199" t="n">
        <x:v>46224.942662037036</x:v>
      </x:c>
      <x:c r="AA114" s="180" t="n">
        <x:v>0</x:v>
      </x:c>
      <x:c r="AB114" s="180" t="n">
        <x:v>1</x:v>
      </x:c>
      <x:c r="AC114" s="180" t="str">
        <x:v>Exact product-detail URL should be refreshed by the Playwright crawler; duplicate item-number rows are deduplicated by canonical SKU key. Public-source seed researched through 2026-07-21.</x:v>
      </x:c>
      <x:c r="AD114" s="186" t="str">
        <x:f>IF(OR(T114&lt;&gt;"Active",U114="Low",ISNUMBER(SEARCH("not publicly",V114)),ISNUMBER(SEARCH("review",T114))),"REVIEW","OK")</x:f>
        <x:v>OK</x:v>
      </x:c>
    </x:row>
    <x:row r="115">
      <x:c r="A115" s="185" t="str">
        <x:v>sku:100013132</x:v>
      </x:c>
      <x:c r="B115" s="180" t="str">
        <x:v>West Pharmaceutical Services, Inc.</x:v>
      </x:c>
      <x:c r="C115" s="180" t="str">
        <x:v>Parent / consolidated</x:v>
      </x:c>
      <x:c r="D115" s="180" t="str">
        <x:v>Corning Valor</x:v>
      </x:c>
      <x:c r="E115" s="180" t="str">
        <x:v>Vial Containment Solutions</x:v>
      </x:c>
      <x:c r="F115" s="180" t="str">
        <x:v>Vials</x:v>
      </x:c>
      <x:c r="G115" s="180" t="str">
        <x:v>Corning Valor 2R RTU Vials Nest and Tub</x:v>
      </x:c>
      <x:c r="H115" s="180" t="str">
        <x:v>SKU</x:v>
      </x:c>
      <x:c r="I115" s="205" t="str">
        <x:v>100013132</x:v>
      </x:c>
      <x:c r="J115" s="180" t="str">
        <x:v>2R</x:v>
      </x:c>
      <x:c r="K115" s="180" t="str"/>
      <x:c r="L115" s="180" t="str">
        <x:v>Glass</x:v>
      </x:c>
      <x:c r="M115" s="180" t="str">
        <x:v>RTU</x:v>
      </x:c>
      <x:c r="N115" s="180" t="str"/>
      <x:c r="O115" s="180" t="str"/>
      <x:c r="P115" s="180" t="str"/>
      <x:c r="Q115" s="180" t="str"/>
      <x:c r="R115" s="180" t="str">
        <x:v>Global / availability varies</x:v>
      </x:c>
      <x:c r="S115" s="180" t="str">
        <x:v>Observed in public West online-store indexing; account availability may differ</x:v>
      </x:c>
      <x:c r="T115" s="180" t="str">
        <x:v>Active</x:v>
      </x:c>
      <x:c r="U115" s="180" t="str">
        <x:v>High</x:v>
      </x:c>
      <x:c r="V115" s="180" t="str">
        <x:v>Public store SKU verified</x:v>
      </x:c>
      <x:c r="W115" s="180" t="str">
        <x:v>West Online Store indexed product page</x:v>
      </x:c>
      <x:c r="X115" s="180" t="str">
        <x:v>https://www.westpharma.com/online-store/all-products</x:v>
      </x:c>
      <x:c r="Y115" s="199" t="n">
        <x:v>46224.942662037036</x:v>
      </x:c>
      <x:c r="Z115" s="199" t="n">
        <x:v>46224.942662037036</x:v>
      </x:c>
      <x:c r="AA115" s="180" t="n">
        <x:v>0</x:v>
      </x:c>
      <x:c r="AB115" s="180" t="n">
        <x:v>1</x:v>
      </x:c>
      <x:c r="AC115" s="180" t="str">
        <x:v>Exact product-detail URL should be refreshed by the Playwright crawler; duplicate item-number rows are deduplicated by canonical SKU key. Public-source seed researched through 2026-07-21.</x:v>
      </x:c>
      <x:c r="AD115" s="186" t="str">
        <x:f>IF(OR(T115&lt;&gt;"Active",U115="Low",ISNUMBER(SEARCH("not publicly",V115)),ISNUMBER(SEARCH("review",T115))),"REVIEW","OK")</x:f>
        <x:v>OK</x:v>
      </x:c>
    </x:row>
    <x:row r="116">
      <x:c r="A116" s="185" t="str">
        <x:v>sku:100012921</x:v>
      </x:c>
      <x:c r="B116" s="180" t="str">
        <x:v>West Pharmaceutical Services, Inc.</x:v>
      </x:c>
      <x:c r="C116" s="180" t="str">
        <x:v>Parent / consolidated</x:v>
      </x:c>
      <x:c r="D116" s="180" t="str">
        <x:v>Corning Valor</x:v>
      </x:c>
      <x:c r="E116" s="180" t="str">
        <x:v>Vial Containment Solutions</x:v>
      </x:c>
      <x:c r="F116" s="180" t="str">
        <x:v>Vials</x:v>
      </x:c>
      <x:c r="G116" s="180" t="str">
        <x:v>Corning Valor 6R Bulk Vials Tray</x:v>
      </x:c>
      <x:c r="H116" s="180" t="str">
        <x:v>SKU</x:v>
      </x:c>
      <x:c r="I116" s="205" t="str">
        <x:v>100012921</x:v>
      </x:c>
      <x:c r="J116" s="180" t="str">
        <x:v>6R</x:v>
      </x:c>
      <x:c r="K116" s="180" t="str"/>
      <x:c r="L116" s="180" t="str">
        <x:v>Glass</x:v>
      </x:c>
      <x:c r="M116" s="180" t="str">
        <x:v>Bulk</x:v>
      </x:c>
      <x:c r="N116" s="180" t="str"/>
      <x:c r="O116" s="180" t="str"/>
      <x:c r="P116" s="180" t="str"/>
      <x:c r="Q116" s="180" t="str"/>
      <x:c r="R116" s="180" t="str">
        <x:v>Global / availability varies</x:v>
      </x:c>
      <x:c r="S116" s="180" t="str">
        <x:v>Observed in public West online-store indexing; account availability may differ</x:v>
      </x:c>
      <x:c r="T116" s="180" t="str">
        <x:v>Active</x:v>
      </x:c>
      <x:c r="U116" s="180" t="str">
        <x:v>High</x:v>
      </x:c>
      <x:c r="V116" s="180" t="str">
        <x:v>Public store SKU verified</x:v>
      </x:c>
      <x:c r="W116" s="180" t="str">
        <x:v>West Online Store indexed product page</x:v>
      </x:c>
      <x:c r="X116" s="180" t="str">
        <x:v>https://www.westpharma.com/online-store/all-products</x:v>
      </x:c>
      <x:c r="Y116" s="199" t="n">
        <x:v>46224.942662037036</x:v>
      </x:c>
      <x:c r="Z116" s="199" t="n">
        <x:v>46224.942662037036</x:v>
      </x:c>
      <x:c r="AA116" s="180" t="n">
        <x:v>0</x:v>
      </x:c>
      <x:c r="AB116" s="180" t="n">
        <x:v>1</x:v>
      </x:c>
      <x:c r="AC116" s="180" t="str">
        <x:v>Exact product-detail URL should be refreshed by the Playwright crawler; duplicate item-number rows are deduplicated by canonical SKU key. Public-source seed researched through 2026-07-21.</x:v>
      </x:c>
      <x:c r="AD116" s="186" t="str">
        <x:f>IF(OR(T116&lt;&gt;"Active",U116="Low",ISNUMBER(SEARCH("not publicly",V116)),ISNUMBER(SEARCH("review",T116))),"REVIEW","OK")</x:f>
        <x:v>OK</x:v>
      </x:c>
    </x:row>
    <x:row r="117">
      <x:c r="A117" s="185" t="str">
        <x:v>sku:100012583</x:v>
      </x:c>
      <x:c r="B117" s="180" t="str">
        <x:v>West Pharmaceutical Services, Inc.</x:v>
      </x:c>
      <x:c r="C117" s="180" t="str">
        <x:v>Parent / consolidated</x:v>
      </x:c>
      <x:c r="D117" s="180" t="str">
        <x:v>Corning Valor</x:v>
      </x:c>
      <x:c r="E117" s="180" t="str">
        <x:v>Vial Containment Solutions</x:v>
      </x:c>
      <x:c r="F117" s="180" t="str">
        <x:v>Vials</x:v>
      </x:c>
      <x:c r="G117" s="180" t="str">
        <x:v>Corning Valor 6R RTU Vials</x:v>
      </x:c>
      <x:c r="H117" s="180" t="str">
        <x:v>SKU</x:v>
      </x:c>
      <x:c r="I117" s="205" t="str">
        <x:v>100012583</x:v>
      </x:c>
      <x:c r="J117" s="180" t="str">
        <x:v>6R</x:v>
      </x:c>
      <x:c r="K117" s="180" t="str"/>
      <x:c r="L117" s="180" t="str">
        <x:v>Glass</x:v>
      </x:c>
      <x:c r="M117" s="180" t="str">
        <x:v>RTU</x:v>
      </x:c>
      <x:c r="N117" s="180" t="str"/>
      <x:c r="O117" s="180" t="str"/>
      <x:c r="P117" s="180" t="str"/>
      <x:c r="Q117" s="180" t="str"/>
      <x:c r="R117" s="180" t="str">
        <x:v>Global / availability varies</x:v>
      </x:c>
      <x:c r="S117" s="180" t="str">
        <x:v>Observed in public West online-store indexing; account availability may differ</x:v>
      </x:c>
      <x:c r="T117" s="180" t="str">
        <x:v>Active</x:v>
      </x:c>
      <x:c r="U117" s="180" t="str">
        <x:v>High</x:v>
      </x:c>
      <x:c r="V117" s="180" t="str">
        <x:v>Public store SKU verified</x:v>
      </x:c>
      <x:c r="W117" s="180" t="str">
        <x:v>West Online Store indexed product page</x:v>
      </x:c>
      <x:c r="X117" s="180" t="str">
        <x:v>https://www.westpharma.com/online-store/all-products</x:v>
      </x:c>
      <x:c r="Y117" s="199" t="n">
        <x:v>46224.942662037036</x:v>
      </x:c>
      <x:c r="Z117" s="199" t="n">
        <x:v>46224.942662037036</x:v>
      </x:c>
      <x:c r="AA117" s="180" t="n">
        <x:v>0</x:v>
      </x:c>
      <x:c r="AB117" s="180" t="n">
        <x:v>1</x:v>
      </x:c>
      <x:c r="AC117" s="180" t="str">
        <x:v>Exact product-detail URL should be refreshed by the Playwright crawler; duplicate item-number rows are deduplicated by canonical SKU key. Public-source seed researched through 2026-07-21.</x:v>
      </x:c>
      <x:c r="AD117" s="186" t="str">
        <x:f>IF(OR(T117&lt;&gt;"Active",U117="Low",ISNUMBER(SEARCH("not publicly",V117)),ISNUMBER(SEARCH("review",T117))),"REVIEW","OK")</x:f>
        <x:v>OK</x:v>
      </x:c>
    </x:row>
    <x:row r="118">
      <x:c r="A118" s="185" t="str">
        <x:v>url:f5cb56eb4e4ad272755b</x:v>
      </x:c>
      <x:c r="B118" s="180" t="str">
        <x:v>West Pharmaceutical Services, Inc.</x:v>
      </x:c>
      <x:c r="C118" s="180" t="str">
        <x:v>Parent / consolidated</x:v>
      </x:c>
      <x:c r="D118" s="180" t="str">
        <x:v>Corning Valor</x:v>
      </x:c>
      <x:c r="E118" s="180" t="str">
        <x:v>Vial Containment Solutions</x:v>
      </x:c>
      <x:c r="F118" s="180" t="str">
        <x:v>Vials</x:v>
      </x:c>
      <x:c r="G118" s="180" t="str">
        <x:v>Corning Valor Glass Vials</x:v>
      </x:c>
      <x:c r="H118" s="180" t="str">
        <x:v>Family</x:v>
      </x:c>
      <x:c r="I118" s="205" t="str"/>
      <x:c r="J118" s="180" t="str"/>
      <x:c r="K118" s="180" t="str"/>
      <x:c r="L118" s="180" t="str"/>
      <x:c r="M118" s="180" t="str"/>
      <x:c r="N118" s="180" t="str"/>
      <x:c r="O118" s="180" t="str"/>
      <x:c r="P118" s="180" t="str"/>
      <x:c r="Q118" s="180" t="str"/>
      <x:c r="R118" s="180" t="str">
        <x:v>Global / availability varies</x:v>
      </x:c>
      <x:c r="S118" s="180" t="str">
        <x:v>Contact West / account dependent</x:v>
      </x:c>
      <x:c r="T118" s="180" t="str">
        <x:v>Active</x:v>
      </x:c>
      <x:c r="U118" s="180" t="str">
        <x:v>High</x:v>
      </x:c>
      <x:c r="V118" s="180" t="str">
        <x:v>Public family verified</x:v>
      </x:c>
      <x:c r="W118" s="180" t="str">
        <x:v>West official website</x:v>
      </x:c>
      <x:c r="X118" s="180" t="str">
        <x:v>https://www.westpharma.com/products/vial-containment-solutions/vials</x:v>
      </x:c>
      <x:c r="Y118" s="199" t="n">
        <x:v>46224.942662037036</x:v>
      </x:c>
      <x:c r="Z118" s="199" t="n">
        <x:v>46224.942662037036</x:v>
      </x:c>
      <x:c r="AA118" s="180" t="n">
        <x:v>0</x:v>
      </x:c>
      <x:c r="AB118" s="180" t="n">
        <x:v>1</x:v>
      </x:c>
      <x:c r="AC118" s="180" t="str">
        <x:v>Public-source seed researched through 2026-07-21.</x:v>
      </x:c>
      <x:c r="AD118" s="186" t="str">
        <x:f>IF(OR(T118&lt;&gt;"Active",U118="Low",ISNUMBER(SEARCH("not publicly",V118)),ISNUMBER(SEARCH("review",T118))),"REVIEW","OK")</x:f>
        <x:v>OK</x:v>
      </x:c>
    </x:row>
    <x:row r="119">
      <x:c r="A119" s="185" t="str">
        <x:v>sku:19550209</x:v>
      </x:c>
      <x:c r="B119" s="180" t="str">
        <x:v>West Pharmaceutical Services, Inc.</x:v>
      </x:c>
      <x:c r="C119" s="180" t="str">
        <x:v>Parent / consolidated</x:v>
      </x:c>
      <x:c r="D119" s="180" t="str">
        <x:v>Daikyo Crystal Zenith</x:v>
      </x:c>
      <x:c r="E119" s="180" t="str">
        <x:v>Vial Containment Solutions</x:v>
      </x:c>
      <x:c r="F119" s="180" t="str">
        <x:v>Vials</x:v>
      </x:c>
      <x:c r="G119" s="180" t="str">
        <x:v>Daikyo Crystal Zenith 5mL RTU Polymer Vial</x:v>
      </x:c>
      <x:c r="H119" s="180" t="str">
        <x:v>SKU</x:v>
      </x:c>
      <x:c r="I119" s="205" t="str">
        <x:v>19550209</x:v>
      </x:c>
      <x:c r="J119" s="180" t="str">
        <x:v>5mL</x:v>
      </x:c>
      <x:c r="K119" s="180" t="str"/>
      <x:c r="L119" s="180" t="str">
        <x:v>Cyclic olefin polymer</x:v>
      </x:c>
      <x:c r="M119" s="180" t="str">
        <x:v>RTU</x:v>
      </x:c>
      <x:c r="N119" s="180" t="str"/>
      <x:c r="O119" s="180" t="str"/>
      <x:c r="P119" s="180" t="str"/>
      <x:c r="Q119" s="180" t="str"/>
      <x:c r="R119" s="180" t="str">
        <x:v>Global / availability varies</x:v>
      </x:c>
      <x:c r="S119" s="180" t="str">
        <x:v>Observed in public West online-store indexing; account availability may differ</x:v>
      </x:c>
      <x:c r="T119" s="180" t="str">
        <x:v>Active</x:v>
      </x:c>
      <x:c r="U119" s="180" t="str">
        <x:v>High</x:v>
      </x:c>
      <x:c r="V119" s="180" t="str">
        <x:v>Public store SKU verified</x:v>
      </x:c>
      <x:c r="W119" s="180" t="str">
        <x:v>West Online Store indexed product page</x:v>
      </x:c>
      <x:c r="X119" s="180" t="str">
        <x:v>https://www.westpharma.com/online-store/all-products</x:v>
      </x:c>
      <x:c r="Y119" s="199" t="n">
        <x:v>46224.942662037036</x:v>
      </x:c>
      <x:c r="Z119" s="199" t="n">
        <x:v>46224.942662037036</x:v>
      </x:c>
      <x:c r="AA119" s="180" t="n">
        <x:v>0</x:v>
      </x:c>
      <x:c r="AB119" s="180" t="n">
        <x:v>1</x:v>
      </x:c>
      <x:c r="AC119" s="180" t="str">
        <x:v>Exact product-detail URL should be refreshed by the Playwright crawler; duplicate item-number rows are deduplicated by canonical SKU key. Public-source seed researched through 2026-07-21.</x:v>
      </x:c>
      <x:c r="AD119" s="186" t="str">
        <x:f>IF(OR(T119&lt;&gt;"Active",U119="Low",ISNUMBER(SEARCH("not publicly",V119)),ISNUMBER(SEARCH("review",T119))),"REVIEW","OK")</x:f>
        <x:v>OK</x:v>
      </x:c>
    </x:row>
    <x:row r="120">
      <x:c r="A120" s="185" t="str">
        <x:v>sku:19550057</x:v>
      </x:c>
      <x:c r="B120" s="180" t="str">
        <x:v>West Pharmaceutical Services, Inc.</x:v>
      </x:c>
      <x:c r="C120" s="180" t="str">
        <x:v>Parent / consolidated</x:v>
      </x:c>
      <x:c r="D120" s="180" t="str">
        <x:v>Daikyo Crystal Zenith</x:v>
      </x:c>
      <x:c r="E120" s="180" t="str">
        <x:v>Vial Containment Solutions</x:v>
      </x:c>
      <x:c r="F120" s="180" t="str">
        <x:v>Vials</x:v>
      </x:c>
      <x:c r="G120" s="180" t="str">
        <x:v>Daikyo Crystal Zenith Copolymer Vial 2mL</x:v>
      </x:c>
      <x:c r="H120" s="180" t="str">
        <x:v>SKU</x:v>
      </x:c>
      <x:c r="I120" s="205" t="str">
        <x:v>1955-0057</x:v>
      </x:c>
      <x:c r="J120" s="180" t="str">
        <x:v>2mL</x:v>
      </x:c>
      <x:c r="K120" s="180" t="str">
        <x:v>13mm closure</x:v>
      </x:c>
      <x:c r="L120" s="180" t="str">
        <x:v>Cyclic olefin polymer</x:v>
      </x:c>
      <x:c r="M120" s="180" t="str">
        <x:v>Ready-to-use sterilized</x:v>
      </x:c>
      <x:c r="N120" s="180" t="str"/>
      <x:c r="O120" s="180" t="str"/>
      <x:c r="P120" s="180" t="str">
        <x:v>Tray</x:v>
      </x:c>
      <x:c r="Q120" s="180" t="str">
        <x:v>960 vials; 480/tray x 2</x:v>
      </x:c>
      <x:c r="R120" s="180" t="str">
        <x:v>Global / availability varies</x:v>
      </x:c>
      <x:c r="S120" s="180" t="str">
        <x:v>Publicly documented ready-to-use item</x:v>
      </x:c>
      <x:c r="T120" s="180" t="str">
        <x:v>Active</x:v>
      </x:c>
      <x:c r="U120" s="180" t="str">
        <x:v>High</x:v>
      </x:c>
      <x:c r="V120" s="180" t="str">
        <x:v>Official PDF SKU verified</x:v>
      </x:c>
      <x:c r="W120" s="180" t="str">
        <x:v>West compounding pharmacy information sheet</x:v>
      </x:c>
      <x:c r="X120" s="180" t="str">
        <x:v>https://westpharma.com/-/media/WestPharma/Files/Products/Compounding-Pharmacy-information-sheet.pdf</x:v>
      </x:c>
      <x:c r="Y120" s="199" t="n">
        <x:v>46224.942662037036</x:v>
      </x:c>
      <x:c r="Z120" s="199" t="n">
        <x:v>46224.942662037036</x:v>
      </x:c>
      <x:c r="AA120" s="180" t="n">
        <x:v>0</x:v>
      </x:c>
      <x:c r="AB120" s="180" t="n">
        <x:v>1</x:v>
      </x:c>
      <x:c r="AC120" s="180" t="str">
        <x:v>Public-source seed researched through 2026-07-21.</x:v>
      </x:c>
      <x:c r="AD120" s="186" t="str">
        <x:f>IF(OR(T120&lt;&gt;"Active",U120="Low",ISNUMBER(SEARCH("not publicly",V120)),ISNUMBER(SEARCH("review",T120))),"REVIEW","OK")</x:f>
        <x:v>OK</x:v>
      </x:c>
    </x:row>
    <x:row r="121">
      <x:c r="A121" s="185" t="str">
        <x:v>sku:19550207</x:v>
      </x:c>
      <x:c r="B121" s="180" t="str">
        <x:v>West Pharmaceutical Services, Inc.</x:v>
      </x:c>
      <x:c r="C121" s="180" t="str">
        <x:v>Parent / consolidated</x:v>
      </x:c>
      <x:c r="D121" s="180" t="str">
        <x:v>Daikyo Crystal Zenith</x:v>
      </x:c>
      <x:c r="E121" s="180" t="str">
        <x:v>Vial Containment Solutions</x:v>
      </x:c>
      <x:c r="F121" s="180" t="str">
        <x:v>Vials</x:v>
      </x:c>
      <x:c r="G121" s="180" t="str">
        <x:v>Daikyo Crystal Zenith Copolymer Vial 5mL</x:v>
      </x:c>
      <x:c r="H121" s="180" t="str">
        <x:v>SKU</x:v>
      </x:c>
      <x:c r="I121" s="205" t="str">
        <x:v>1955-0207</x:v>
      </x:c>
      <x:c r="J121" s="180" t="str">
        <x:v>5mL</x:v>
      </x:c>
      <x:c r="K121" s="180" t="str">
        <x:v>20mm closure</x:v>
      </x:c>
      <x:c r="L121" s="180" t="str">
        <x:v>Cyclic olefin polymer</x:v>
      </x:c>
      <x:c r="M121" s="180" t="str">
        <x:v>Ready-to-use sterilized</x:v>
      </x:c>
      <x:c r="N121" s="180" t="str"/>
      <x:c r="O121" s="180" t="str"/>
      <x:c r="P121" s="180" t="str">
        <x:v>Tray</x:v>
      </x:c>
      <x:c r="Q121" s="180" t="str">
        <x:v>448 vials; 224/tray x 2</x:v>
      </x:c>
      <x:c r="R121" s="180" t="str">
        <x:v>Global / availability varies</x:v>
      </x:c>
      <x:c r="S121" s="180" t="str">
        <x:v>Publicly documented ready-to-use item</x:v>
      </x:c>
      <x:c r="T121" s="180" t="str">
        <x:v>Active</x:v>
      </x:c>
      <x:c r="U121" s="180" t="str">
        <x:v>High</x:v>
      </x:c>
      <x:c r="V121" s="180" t="str">
        <x:v>Official PDF SKU verified</x:v>
      </x:c>
      <x:c r="W121" s="180" t="str">
        <x:v>West compounding pharmacy information sheet</x:v>
      </x:c>
      <x:c r="X121" s="180" t="str">
        <x:v>https://westpharma.com/-/media/WestPharma/Files/Products/Compounding-Pharmacy-information-sheet.pdf</x:v>
      </x:c>
      <x:c r="Y121" s="199" t="n">
        <x:v>46224.942662037036</x:v>
      </x:c>
      <x:c r="Z121" s="199" t="n">
        <x:v>46224.942662037036</x:v>
      </x:c>
      <x:c r="AA121" s="180" t="n">
        <x:v>0</x:v>
      </x:c>
      <x:c r="AB121" s="180" t="n">
        <x:v>1</x:v>
      </x:c>
      <x:c r="AC121" s="180" t="str">
        <x:v>Public-source seed researched through 2026-07-21.</x:v>
      </x:c>
      <x:c r="AD121" s="186" t="str">
        <x:f>IF(OR(T121&lt;&gt;"Active",U121="Low",ISNUMBER(SEARCH("not publicly",V121)),ISNUMBER(SEARCH("review",T121))),"REVIEW","OK")</x:f>
        <x:v>OK</x:v>
      </x:c>
    </x:row>
    <x:row r="122">
      <x:c r="A122" s="185" t="str">
        <x:v>url:280c261955340c4686dc</x:v>
      </x:c>
      <x:c r="B122" s="180" t="str">
        <x:v>West Pharmaceutical Services, Inc.</x:v>
      </x:c>
      <x:c r="C122" s="180" t="str">
        <x:v>Parent / consolidated</x:v>
      </x:c>
      <x:c r="D122" s="180" t="str">
        <x:v>Daikyo Crystal Zenith</x:v>
      </x:c>
      <x:c r="E122" s="180" t="str">
        <x:v>Vial Containment Solutions</x:v>
      </x:c>
      <x:c r="F122" s="180" t="str">
        <x:v>Vials</x:v>
      </x:c>
      <x:c r="G122" s="180" t="str">
        <x:v>Daikyo Crystal Zenith Vials</x:v>
      </x:c>
      <x:c r="H122" s="180" t="str">
        <x:v>Family</x:v>
      </x:c>
      <x:c r="I122" s="205" t="str"/>
      <x:c r="J122" s="180" t="str"/>
      <x:c r="K122" s="180" t="str"/>
      <x:c r="L122" s="180" t="str"/>
      <x:c r="M122" s="180" t="str"/>
      <x:c r="N122" s="180" t="str"/>
      <x:c r="O122" s="180" t="str"/>
      <x:c r="P122" s="180" t="str"/>
      <x:c r="Q122" s="180" t="str"/>
      <x:c r="R122" s="180" t="str">
        <x:v>Global / availability varies</x:v>
      </x:c>
      <x:c r="S122" s="180" t="str">
        <x:v>Contact West / account dependent</x:v>
      </x:c>
      <x:c r="T122" s="180" t="str">
        <x:v>Active</x:v>
      </x:c>
      <x:c r="U122" s="180" t="str">
        <x:v>High</x:v>
      </x:c>
      <x:c r="V122" s="180" t="str">
        <x:v>Public family verified</x:v>
      </x:c>
      <x:c r="W122" s="180" t="str">
        <x:v>West official website</x:v>
      </x:c>
      <x:c r="X122" s="180" t="str">
        <x:v>https://www.westpharma.com/products/vial-containment-solutions/vials</x:v>
      </x:c>
      <x:c r="Y122" s="199" t="n">
        <x:v>46224.942662037036</x:v>
      </x:c>
      <x:c r="Z122" s="199" t="n">
        <x:v>46224.942662037036</x:v>
      </x:c>
      <x:c r="AA122" s="180" t="n">
        <x:v>0</x:v>
      </x:c>
      <x:c r="AB122" s="180" t="n">
        <x:v>1</x:v>
      </x:c>
      <x:c r="AC122" s="180" t="str">
        <x:v>Public-source seed researched through 2026-07-21.</x:v>
      </x:c>
      <x:c r="AD122" s="186" t="str">
        <x:f>IF(OR(T122&lt;&gt;"Active",U122="Low",ISNUMBER(SEARCH("not publicly",V122)),ISNUMBER(SEARCH("review",T122))),"REVIEW","OK")</x:f>
        <x:v>OK</x:v>
      </x:c>
    </x:row>
    <x:row r="123">
      <x:c r="A123" s="185" t="str">
        <x:v>sku:100012999</x:v>
      </x:c>
      <x:c r="B123" s="180" t="str">
        <x:v>West Pharmaceutical Services, Inc.</x:v>
      </x:c>
      <x:c r="C123" s="180" t="str">
        <x:v>Parent / consolidated</x:v>
      </x:c>
      <x:c r="D123" s="180" t="str">
        <x:v>SCHOTT adaptiQ</x:v>
      </x:c>
      <x:c r="E123" s="180" t="str">
        <x:v>Vial Containment Solutions</x:v>
      </x:c>
      <x:c r="F123" s="180" t="str">
        <x:v>Vials</x:v>
      </x:c>
      <x:c r="G123" s="180" t="str">
        <x:v>SCHOTT adaptiQ 10R RTU Vials Cup Nest</x:v>
      </x:c>
      <x:c r="H123" s="180" t="str">
        <x:v>SKU</x:v>
      </x:c>
      <x:c r="I123" s="205" t="str">
        <x:v>100012999</x:v>
      </x:c>
      <x:c r="J123" s="180" t="str">
        <x:v>10R</x:v>
      </x:c>
      <x:c r="K123" s="180" t="str"/>
      <x:c r="L123" s="180" t="str">
        <x:v>Glass</x:v>
      </x:c>
      <x:c r="M123" s="180" t="str">
        <x:v>RTU</x:v>
      </x:c>
      <x:c r="N123" s="180" t="str"/>
      <x:c r="O123" s="180" t="str"/>
      <x:c r="P123" s="180" t="str"/>
      <x:c r="Q123" s="180" t="str"/>
      <x:c r="R123" s="180" t="str">
        <x:v>Global / availability varies</x:v>
      </x:c>
      <x:c r="S123" s="180" t="str">
        <x:v>Observed in public West online-store indexing; account availability may differ</x:v>
      </x:c>
      <x:c r="T123" s="180" t="str">
        <x:v>Active</x:v>
      </x:c>
      <x:c r="U123" s="180" t="str">
        <x:v>High</x:v>
      </x:c>
      <x:c r="V123" s="180" t="str">
        <x:v>Public store SKU verified</x:v>
      </x:c>
      <x:c r="W123" s="180" t="str">
        <x:v>West Online Store indexed product page</x:v>
      </x:c>
      <x:c r="X123" s="180" t="str">
        <x:v>https://www.westpharma.com/online-store/all-products</x:v>
      </x:c>
      <x:c r="Y123" s="199" t="n">
        <x:v>46224.942662037036</x:v>
      </x:c>
      <x:c r="Z123" s="199" t="n">
        <x:v>46224.942662037036</x:v>
      </x:c>
      <x:c r="AA123" s="180" t="n">
        <x:v>0</x:v>
      </x:c>
      <x:c r="AB123" s="180" t="n">
        <x:v>1</x:v>
      </x:c>
      <x:c r="AC123" s="180" t="str">
        <x:v>Exact product-detail URL should be refreshed by the Playwright crawler; duplicate item-number rows are deduplicated by canonical SKU key. Public-source seed researched through 2026-07-21.</x:v>
      </x:c>
      <x:c r="AD123" s="186" t="str">
        <x:f>IF(OR(T123&lt;&gt;"Active",U123="Low",ISNUMBER(SEARCH("not publicly",V123)),ISNUMBER(SEARCH("review",T123))),"REVIEW","OK")</x:f>
        <x:v>OK</x:v>
      </x:c>
    </x:row>
    <x:row r="124">
      <x:c r="A124" s="185" t="str">
        <x:v>sku:100013101</x:v>
      </x:c>
      <x:c r="B124" s="180" t="str">
        <x:v>West Pharmaceutical Services, Inc.</x:v>
      </x:c>
      <x:c r="C124" s="180" t="str">
        <x:v>Parent / consolidated</x:v>
      </x:c>
      <x:c r="D124" s="180" t="str">
        <x:v>SCHOTT adaptiQ</x:v>
      </x:c>
      <x:c r="E124" s="180" t="str">
        <x:v>Vial Containment Solutions</x:v>
      </x:c>
      <x:c r="F124" s="180" t="str">
        <x:v>Vials</x:v>
      </x:c>
      <x:c r="G124" s="180" t="str">
        <x:v>SCHOTT adaptiQ 2R RTU Vials Tray</x:v>
      </x:c>
      <x:c r="H124" s="180" t="str">
        <x:v>SKU</x:v>
      </x:c>
      <x:c r="I124" s="205" t="str">
        <x:v>100013101</x:v>
      </x:c>
      <x:c r="J124" s="180" t="str">
        <x:v>2R</x:v>
      </x:c>
      <x:c r="K124" s="180" t="str"/>
      <x:c r="L124" s="180" t="str">
        <x:v>Glass</x:v>
      </x:c>
      <x:c r="M124" s="180" t="str">
        <x:v>RTU</x:v>
      </x:c>
      <x:c r="N124" s="180" t="str"/>
      <x:c r="O124" s="180" t="str"/>
      <x:c r="P124" s="180" t="str"/>
      <x:c r="Q124" s="180" t="str"/>
      <x:c r="R124" s="180" t="str">
        <x:v>Global / availability varies</x:v>
      </x:c>
      <x:c r="S124" s="180" t="str">
        <x:v>Observed in public West online-store indexing; account availability may differ</x:v>
      </x:c>
      <x:c r="T124" s="180" t="str">
        <x:v>Active</x:v>
      </x:c>
      <x:c r="U124" s="180" t="str">
        <x:v>High</x:v>
      </x:c>
      <x:c r="V124" s="180" t="str">
        <x:v>Public store SKU verified</x:v>
      </x:c>
      <x:c r="W124" s="180" t="str">
        <x:v>West Online Store indexed product page</x:v>
      </x:c>
      <x:c r="X124" s="180" t="str">
        <x:v>https://www.westpharma.com/online-store/all-products</x:v>
      </x:c>
      <x:c r="Y124" s="199" t="n">
        <x:v>46224.942662037036</x:v>
      </x:c>
      <x:c r="Z124" s="199" t="n">
        <x:v>46224.942662037036</x:v>
      </x:c>
      <x:c r="AA124" s="180" t="n">
        <x:v>0</x:v>
      </x:c>
      <x:c r="AB124" s="180" t="n">
        <x:v>1</x:v>
      </x:c>
      <x:c r="AC124" s="180" t="str">
        <x:v>Exact product-detail URL should be refreshed by the Playwright crawler; duplicate item-number rows are deduplicated by canonical SKU key. Public-source seed researched through 2026-07-21.</x:v>
      </x:c>
      <x:c r="AD124" s="186" t="str">
        <x:f>IF(OR(T124&lt;&gt;"Active",U124="Low",ISNUMBER(SEARCH("not publicly",V124)),ISNUMBER(SEARCH("review",T124))),"REVIEW","OK")</x:f>
        <x:v>OK</x:v>
      </x:c>
    </x:row>
    <x:row r="125">
      <x:c r="A125" s="185" t="str">
        <x:v>sku:100013103</x:v>
      </x:c>
      <x:c r="B125" s="180" t="str">
        <x:v>West Pharmaceutical Services, Inc.</x:v>
      </x:c>
      <x:c r="C125" s="180" t="str">
        <x:v>Parent / consolidated</x:v>
      </x:c>
      <x:c r="D125" s="180" t="str">
        <x:v>SCHOTT adaptiQ</x:v>
      </x:c>
      <x:c r="E125" s="180" t="str">
        <x:v>Vial Containment Solutions</x:v>
      </x:c>
      <x:c r="F125" s="180" t="str">
        <x:v>Vials</x:v>
      </x:c>
      <x:c r="G125" s="180" t="str">
        <x:v>SCHOTT adaptiQ 6R RTU Vials Tray</x:v>
      </x:c>
      <x:c r="H125" s="180" t="str">
        <x:v>SKU</x:v>
      </x:c>
      <x:c r="I125" s="205" t="str">
        <x:v>100013103</x:v>
      </x:c>
      <x:c r="J125" s="180" t="str">
        <x:v>6R</x:v>
      </x:c>
      <x:c r="K125" s="180" t="str"/>
      <x:c r="L125" s="180" t="str">
        <x:v>Glass</x:v>
      </x:c>
      <x:c r="M125" s="180" t="str">
        <x:v>RTU</x:v>
      </x:c>
      <x:c r="N125" s="180" t="str"/>
      <x:c r="O125" s="180" t="str"/>
      <x:c r="P125" s="180" t="str"/>
      <x:c r="Q125" s="180" t="str"/>
      <x:c r="R125" s="180" t="str">
        <x:v>Global / availability varies</x:v>
      </x:c>
      <x:c r="S125" s="180" t="str">
        <x:v>Observed in public West online-store indexing; account availability may differ</x:v>
      </x:c>
      <x:c r="T125" s="180" t="str">
        <x:v>Active</x:v>
      </x:c>
      <x:c r="U125" s="180" t="str">
        <x:v>High</x:v>
      </x:c>
      <x:c r="V125" s="180" t="str">
        <x:v>Public store SKU verified</x:v>
      </x:c>
      <x:c r="W125" s="180" t="str">
        <x:v>West Online Store indexed product page</x:v>
      </x:c>
      <x:c r="X125" s="180" t="str">
        <x:v>https://www.westpharma.com/online-store/all-products</x:v>
      </x:c>
      <x:c r="Y125" s="199" t="n">
        <x:v>46224.942662037036</x:v>
      </x:c>
      <x:c r="Z125" s="199" t="n">
        <x:v>46224.942662037036</x:v>
      </x:c>
      <x:c r="AA125" s="180" t="n">
        <x:v>0</x:v>
      </x:c>
      <x:c r="AB125" s="180" t="n">
        <x:v>1</x:v>
      </x:c>
      <x:c r="AC125" s="180" t="str">
        <x:v>Exact product-detail URL should be refreshed by the Playwright crawler; duplicate item-number rows are deduplicated by canonical SKU key. Public-source seed researched through 2026-07-21.</x:v>
      </x:c>
      <x:c r="AD125" s="186" t="str">
        <x:f>IF(OR(T125&lt;&gt;"Active",U125="Low",ISNUMBER(SEARCH("not publicly",V125)),ISNUMBER(SEARCH("review",T125))),"REVIEW","OK")</x:f>
        <x:v>OK</x:v>
      </x:c>
    </x:row>
    <x:row r="126">
      <x:c r="A126" s="185" t="str">
        <x:v>url:0faba7d97249792bab02</x:v>
      </x:c>
      <x:c r="B126" s="180" t="str">
        <x:v>West Pharmaceutical Services, Inc.</x:v>
      </x:c>
      <x:c r="C126" s="180" t="str">
        <x:v>Parent / consolidated</x:v>
      </x:c>
      <x:c r="D126" s="180" t="str">
        <x:v>SCHOTT adaptiQ</x:v>
      </x:c>
      <x:c r="E126" s="180" t="str">
        <x:v>Vial Containment Solutions</x:v>
      </x:c>
      <x:c r="F126" s="180" t="str">
        <x:v>Vials</x:v>
      </x:c>
      <x:c r="G126" s="180" t="str">
        <x:v>SCHOTT adaptiQ Vials</x:v>
      </x:c>
      <x:c r="H126" s="180" t="str">
        <x:v>Family</x:v>
      </x:c>
      <x:c r="I126" s="205" t="str"/>
      <x:c r="J126" s="180" t="str"/>
      <x:c r="K126" s="180" t="str"/>
      <x:c r="L126" s="180" t="str"/>
      <x:c r="M126" s="180" t="str"/>
      <x:c r="N126" s="180" t="str"/>
      <x:c r="O126" s="180" t="str"/>
      <x:c r="P126" s="180" t="str"/>
      <x:c r="Q126" s="180" t="str"/>
      <x:c r="R126" s="180" t="str">
        <x:v>Global / availability varies</x:v>
      </x:c>
      <x:c r="S126" s="180" t="str">
        <x:v>Contact West / account dependent</x:v>
      </x:c>
      <x:c r="T126" s="180" t="str">
        <x:v>Active</x:v>
      </x:c>
      <x:c r="U126" s="180" t="str">
        <x:v>High</x:v>
      </x:c>
      <x:c r="V126" s="180" t="str">
        <x:v>Public family verified</x:v>
      </x:c>
      <x:c r="W126" s="180" t="str">
        <x:v>West official website</x:v>
      </x:c>
      <x:c r="X126" s="180" t="str">
        <x:v>https://www.westpharma.com/products/vial-containment-solutions/vials</x:v>
      </x:c>
      <x:c r="Y126" s="199" t="n">
        <x:v>46224.942662037036</x:v>
      </x:c>
      <x:c r="Z126" s="199" t="n">
        <x:v>46224.942662037036</x:v>
      </x:c>
      <x:c r="AA126" s="180" t="n">
        <x:v>0</x:v>
      </x:c>
      <x:c r="AB126" s="180" t="n">
        <x:v>1</x:v>
      </x:c>
      <x:c r="AC126" s="180" t="str">
        <x:v>Public-source seed researched through 2026-07-21.</x:v>
      </x:c>
      <x:c r="AD126" s="186" t="str">
        <x:f>IF(OR(T126&lt;&gt;"Active",U126="Low",ISNUMBER(SEARCH("not publicly",V126)),ISNUMBER(SEARCH("review",T126))),"REVIEW","OK")</x:f>
        <x:v>OK</x:v>
      </x:c>
    </x:row>
    <x:row r="127">
      <x:c r="A127" s="185" t="str">
        <x:v>sku:68000399</x:v>
      </x:c>
      <x:c r="B127" s="180" t="str">
        <x:v>West Pharmaceutical Services, Inc.</x:v>
      </x:c>
      <x:c r="C127" s="180" t="str">
        <x:v>Parent / consolidated</x:v>
      </x:c>
      <x:c r="D127" s="180" t="str">
        <x:v>SG EZ-fill</x:v>
      </x:c>
      <x:c r="E127" s="180" t="str">
        <x:v>Vial Containment Solutions</x:v>
      </x:c>
      <x:c r="F127" s="180" t="str">
        <x:v>Vials</x:v>
      </x:c>
      <x:c r="G127" s="180" t="str">
        <x:v>SG EZ-fill Sterile Glass Vial 10mL</x:v>
      </x:c>
      <x:c r="H127" s="180" t="str">
        <x:v>SKU</x:v>
      </x:c>
      <x:c r="I127" s="205" t="str">
        <x:v>6800-0399</x:v>
      </x:c>
      <x:c r="J127" s="180" t="str">
        <x:v>10mL</x:v>
      </x:c>
      <x:c r="K127" s="180" t="str">
        <x:v>20mm closure</x:v>
      </x:c>
      <x:c r="L127" s="180" t="str">
        <x:v>Glass</x:v>
      </x:c>
      <x:c r="M127" s="180" t="str">
        <x:v>Clean, sterilized, depyrogenated</x:v>
      </x:c>
      <x:c r="N127" s="180" t="str"/>
      <x:c r="O127" s="180" t="str"/>
      <x:c r="P127" s="180" t="str">
        <x:v>Tray</x:v>
      </x:c>
      <x:c r="Q127" s="180" t="str">
        <x:v>960 vials; 96/tray x 10</x:v>
      </x:c>
      <x:c r="R127" s="180" t="str">
        <x:v>Global / availability varies</x:v>
      </x:c>
      <x:c r="S127" s="180" t="str">
        <x:v>Publicly documented ready-to-use item</x:v>
      </x:c>
      <x:c r="T127" s="180" t="str">
        <x:v>Active</x:v>
      </x:c>
      <x:c r="U127" s="180" t="str">
        <x:v>High</x:v>
      </x:c>
      <x:c r="V127" s="180" t="str">
        <x:v>Official PDF SKU verified</x:v>
      </x:c>
      <x:c r="W127" s="180" t="str">
        <x:v>West compounding pharmacy information sheet</x:v>
      </x:c>
      <x:c r="X127" s="180" t="str">
        <x:v>https://westpharma.com/-/media/WestPharma/Files/Products/Compounding-Pharmacy-information-sheet.pdf</x:v>
      </x:c>
      <x:c r="Y127" s="199" t="n">
        <x:v>46224.942662037036</x:v>
      </x:c>
      <x:c r="Z127" s="199" t="n">
        <x:v>46224.942662037036</x:v>
      </x:c>
      <x:c r="AA127" s="180" t="n">
        <x:v>0</x:v>
      </x:c>
      <x:c r="AB127" s="180" t="n">
        <x:v>1</x:v>
      </x:c>
      <x:c r="AC127" s="180" t="str">
        <x:v>Public-source seed researched through 2026-07-21.</x:v>
      </x:c>
      <x:c r="AD127" s="186" t="str">
        <x:f>IF(OR(T127&lt;&gt;"Active",U127="Low",ISNUMBER(SEARCH("not publicly",V127)),ISNUMBER(SEARCH("review",T127))),"REVIEW","OK")</x:f>
        <x:v>OK</x:v>
      </x:c>
    </x:row>
    <x:row r="128">
      <x:c r="A128" s="185" t="str">
        <x:v>sku:68000397</x:v>
      </x:c>
      <x:c r="B128" s="180" t="str">
        <x:v>West Pharmaceutical Services, Inc.</x:v>
      </x:c>
      <x:c r="C128" s="180" t="str">
        <x:v>Parent / consolidated</x:v>
      </x:c>
      <x:c r="D128" s="180" t="str">
        <x:v>SG EZ-fill</x:v>
      </x:c>
      <x:c r="E128" s="180" t="str">
        <x:v>Vial Containment Solutions</x:v>
      </x:c>
      <x:c r="F128" s="180" t="str">
        <x:v>Vials</x:v>
      </x:c>
      <x:c r="G128" s="180" t="str">
        <x:v>SG EZ-fill Sterile Glass Vial 3mL</x:v>
      </x:c>
      <x:c r="H128" s="180" t="str">
        <x:v>SKU</x:v>
      </x:c>
      <x:c r="I128" s="205" t="str">
        <x:v>6800-0397</x:v>
      </x:c>
      <x:c r="J128" s="180" t="str">
        <x:v>3mL</x:v>
      </x:c>
      <x:c r="K128" s="180" t="str">
        <x:v>13mm closure</x:v>
      </x:c>
      <x:c r="L128" s="180" t="str">
        <x:v>Glass</x:v>
      </x:c>
      <x:c r="M128" s="180" t="str">
        <x:v>Clean, sterilized, depyrogenated</x:v>
      </x:c>
      <x:c r="N128" s="180" t="str"/>
      <x:c r="O128" s="180" t="str"/>
      <x:c r="P128" s="180" t="str">
        <x:v>Tray</x:v>
      </x:c>
      <x:c r="Q128" s="180" t="str">
        <x:v>2,280 vials; 228/tray x 10</x:v>
      </x:c>
      <x:c r="R128" s="180" t="str">
        <x:v>Global / availability varies</x:v>
      </x:c>
      <x:c r="S128" s="180" t="str">
        <x:v>Publicly documented ready-to-use item</x:v>
      </x:c>
      <x:c r="T128" s="180" t="str">
        <x:v>Active</x:v>
      </x:c>
      <x:c r="U128" s="180" t="str">
        <x:v>High</x:v>
      </x:c>
      <x:c r="V128" s="180" t="str">
        <x:v>Official PDF SKU verified</x:v>
      </x:c>
      <x:c r="W128" s="180" t="str">
        <x:v>West compounding pharmacy information sheet</x:v>
      </x:c>
      <x:c r="X128" s="180" t="str">
        <x:v>https://westpharma.com/-/media/WestPharma/Files/Products/Compounding-Pharmacy-information-sheet.pdf</x:v>
      </x:c>
      <x:c r="Y128" s="199" t="n">
        <x:v>46224.942662037036</x:v>
      </x:c>
      <x:c r="Z128" s="199" t="n">
        <x:v>46224.942662037036</x:v>
      </x:c>
      <x:c r="AA128" s="180" t="n">
        <x:v>0</x:v>
      </x:c>
      <x:c r="AB128" s="180" t="n">
        <x:v>1</x:v>
      </x:c>
      <x:c r="AC128" s="180" t="str">
        <x:v>Public-source seed researched through 2026-07-21.</x:v>
      </x:c>
      <x:c r="AD128" s="186" t="str">
        <x:f>IF(OR(T128&lt;&gt;"Active",U128="Low",ISNUMBER(SEARCH("not publicly",V128)),ISNUMBER(SEARCH("review",T128))),"REVIEW","OK")</x:f>
        <x:v>OK</x:v>
      </x:c>
    </x:row>
    <x:row r="129">
      <x:c r="A129" s="185" t="str">
        <x:v>sku:68000398</x:v>
      </x:c>
      <x:c r="B129" s="180" t="str">
        <x:v>West Pharmaceutical Services, Inc.</x:v>
      </x:c>
      <x:c r="C129" s="180" t="str">
        <x:v>Parent / consolidated</x:v>
      </x:c>
      <x:c r="D129" s="180" t="str">
        <x:v>SG EZ-fill</x:v>
      </x:c>
      <x:c r="E129" s="180" t="str">
        <x:v>Vial Containment Solutions</x:v>
      </x:c>
      <x:c r="F129" s="180" t="str">
        <x:v>Vials</x:v>
      </x:c>
      <x:c r="G129" s="180" t="str">
        <x:v>SG EZ-fill Sterile Glass Vial 8mL</x:v>
      </x:c>
      <x:c r="H129" s="180" t="str">
        <x:v>SKU</x:v>
      </x:c>
      <x:c r="I129" s="205" t="str">
        <x:v>6800-0398</x:v>
      </x:c>
      <x:c r="J129" s="180" t="str">
        <x:v>8mL</x:v>
      </x:c>
      <x:c r="K129" s="180" t="str">
        <x:v>20mm closure</x:v>
      </x:c>
      <x:c r="L129" s="180" t="str">
        <x:v>Glass</x:v>
      </x:c>
      <x:c r="M129" s="180" t="str">
        <x:v>Clean, sterilized, depyrogenated</x:v>
      </x:c>
      <x:c r="N129" s="180" t="str"/>
      <x:c r="O129" s="180" t="str"/>
      <x:c r="P129" s="180" t="str">
        <x:v>Tray</x:v>
      </x:c>
      <x:c r="Q129" s="180" t="str">
        <x:v>960 vials; 96/tray x 10</x:v>
      </x:c>
      <x:c r="R129" s="180" t="str">
        <x:v>Global / availability varies</x:v>
      </x:c>
      <x:c r="S129" s="180" t="str">
        <x:v>Publicly documented ready-to-use item</x:v>
      </x:c>
      <x:c r="T129" s="180" t="str">
        <x:v>Active</x:v>
      </x:c>
      <x:c r="U129" s="180" t="str">
        <x:v>High</x:v>
      </x:c>
      <x:c r="V129" s="180" t="str">
        <x:v>Official PDF SKU verified</x:v>
      </x:c>
      <x:c r="W129" s="180" t="str">
        <x:v>West compounding pharmacy information sheet</x:v>
      </x:c>
      <x:c r="X129" s="180" t="str">
        <x:v>https://westpharma.com/-/media/WestPharma/Files/Products/Compounding-Pharmacy-information-sheet.pdf</x:v>
      </x:c>
      <x:c r="Y129" s="199" t="n">
        <x:v>46224.942662037036</x:v>
      </x:c>
      <x:c r="Z129" s="199" t="n">
        <x:v>46224.942662037036</x:v>
      </x:c>
      <x:c r="AA129" s="180" t="n">
        <x:v>0</x:v>
      </x:c>
      <x:c r="AB129" s="180" t="n">
        <x:v>1</x:v>
      </x:c>
      <x:c r="AC129" s="180" t="str">
        <x:v>Public-source seed researched through 2026-07-21.</x:v>
      </x:c>
      <x:c r="AD129" s="186" t="str">
        <x:f>IF(OR(T129&lt;&gt;"Active",U129="Low",ISNUMBER(SEARCH("not publicly",V129)),ISNUMBER(SEARCH("review",T129))),"REVIEW","OK")</x:f>
        <x:v>OK</x:v>
      </x:c>
    </x:row>
    <x:row r="130">
      <x:c r="A130" s="185" t="str">
        <x:v>url:033d054d2a380f34b577</x:v>
      </x:c>
      <x:c r="B130" s="180" t="str">
        <x:v>West Pharmaceutical Services, Inc.</x:v>
      </x:c>
      <x:c r="C130" s="180" t="str">
        <x:v>Parent / consolidated</x:v>
      </x:c>
      <x:c r="D130" s="180" t="str">
        <x:v>SG EZ-fill</x:v>
      </x:c>
      <x:c r="E130" s="180" t="str">
        <x:v>Vial Containment Solutions</x:v>
      </x:c>
      <x:c r="F130" s="180" t="str">
        <x:v>Vials</x:v>
      </x:c>
      <x:c r="G130" s="180" t="str">
        <x:v>SG EZ-fill Vials</x:v>
      </x:c>
      <x:c r="H130" s="180" t="str">
        <x:v>Family</x:v>
      </x:c>
      <x:c r="I130" s="205" t="str"/>
      <x:c r="J130" s="180" t="str"/>
      <x:c r="K130" s="180" t="str"/>
      <x:c r="L130" s="180" t="str"/>
      <x:c r="M130" s="180" t="str"/>
      <x:c r="N130" s="180" t="str"/>
      <x:c r="O130" s="180" t="str"/>
      <x:c r="P130" s="180" t="str"/>
      <x:c r="Q130" s="180" t="str"/>
      <x:c r="R130" s="180" t="str">
        <x:v>Global / availability varies</x:v>
      </x:c>
      <x:c r="S130" s="180" t="str">
        <x:v>Contact West / account dependent</x:v>
      </x:c>
      <x:c r="T130" s="180" t="str">
        <x:v>Active</x:v>
      </x:c>
      <x:c r="U130" s="180" t="str">
        <x:v>High</x:v>
      </x:c>
      <x:c r="V130" s="180" t="str">
        <x:v>Public family verified</x:v>
      </x:c>
      <x:c r="W130" s="180" t="str">
        <x:v>West official website</x:v>
      </x:c>
      <x:c r="X130" s="180" t="str">
        <x:v>https://www.westpharma.com/products/vial-containment-solutions/vials</x:v>
      </x:c>
      <x:c r="Y130" s="199" t="n">
        <x:v>46224.942662037036</x:v>
      </x:c>
      <x:c r="Z130" s="199" t="n">
        <x:v>46224.942662037036</x:v>
      </x:c>
      <x:c r="AA130" s="180" t="n">
        <x:v>0</x:v>
      </x:c>
      <x:c r="AB130" s="180" t="n">
        <x:v>1</x:v>
      </x:c>
      <x:c r="AC130" s="180" t="str">
        <x:v>Public-source seed researched through 2026-07-21.</x:v>
      </x:c>
      <x:c r="AD130" s="186" t="str">
        <x:f>IF(OR(T130&lt;&gt;"Active",U130="Low",ISNUMBER(SEARCH("not publicly",V130)),ISNUMBER(SEARCH("review",T130))),"REVIEW","OK")</x:f>
        <x:v>OK</x:v>
      </x:c>
    </x:row>
    <x:row r="131">
      <x:c r="A131" s="185" t="str">
        <x:v>url:0c343ce5aaadeda7842d</x:v>
      </x:c>
      <x:c r="B131" s="180" t="str">
        <x:v>West Pharma. Services IL, Ltd.</x:v>
      </x:c>
      <x:c r="C131" s="180" t="str">
        <x:v>100%-owned subsidiary</x:v>
      </x:c>
      <x:c r="D131" s="180" t="str">
        <x:v>Mix2Vial</x:v>
      </x:c>
      <x:c r="E131" s="180" t="str">
        <x:v>Vial Transfer Devices</x:v>
      </x:c>
      <x:c r="F131" s="180" t="str">
        <x:v>Reconstitution and transfer</x:v>
      </x:c>
      <x:c r="G131" s="180" t="str">
        <x:v>Mix2Vial Transfer Device</x:v>
      </x:c>
      <x:c r="H131" s="180" t="str">
        <x:v>Family</x:v>
      </x:c>
      <x:c r="I131" s="205" t="str"/>
      <x:c r="J131" s="180" t="str">
        <x:v>20mm stopper compatibility</x:v>
      </x:c>
      <x:c r="K131" s="180" t="str"/>
      <x:c r="L131" s="180" t="str"/>
      <x:c r="M131" s="180" t="str"/>
      <x:c r="N131" s="180" t="str"/>
      <x:c r="O131" s="180" t="str"/>
      <x:c r="P131" s="180" t="str"/>
      <x:c r="Q131" s="180" t="str"/>
      <x:c r="R131" s="180" t="str">
        <x:v>Global / availability varies</x:v>
      </x:c>
      <x:c r="S131" s="180" t="str">
        <x:v>Contact West / account dependent</x:v>
      </x:c>
      <x:c r="T131" s="180" t="str">
        <x:v>Active</x:v>
      </x:c>
      <x:c r="U131" s="180" t="str">
        <x:v>High</x:v>
      </x:c>
      <x:c r="V131" s="180" t="str">
        <x:v>Public family verified</x:v>
      </x:c>
      <x:c r="W131" s="180" t="str">
        <x:v>West official website</x:v>
      </x:c>
      <x:c r="X131" s="180" t="str">
        <x:v>https://www.westpharma.com/products/vial-transfer-devices/mix2vial-transfer-device</x:v>
      </x:c>
      <x:c r="Y131" s="199" t="n">
        <x:v>46224.942662037036</x:v>
      </x:c>
      <x:c r="Z131" s="199" t="n">
        <x:v>46224.942662037036</x:v>
      </x:c>
      <x:c r="AA131" s="180" t="n">
        <x:v>0</x:v>
      </x:c>
      <x:c r="AB131" s="180" t="n">
        <x:v>1</x:v>
      </x:c>
      <x:c r="AC131" s="180" t="str">
        <x:v>Single-use sterile vial-to-vial transfer device. Public-source seed researched through 2026-07-21.</x:v>
      </x:c>
      <x:c r="AD131" s="186" t="str">
        <x:f>IF(OR(T131&lt;&gt;"Active",U131="Low",ISNUMBER(SEARCH("not publicly",V131)),ISNUMBER(SEARCH("review",T131))),"REVIEW","OK")</x:f>
        <x:v>OK</x:v>
      </x:c>
    </x:row>
    <x:row r="132">
      <x:c r="A132" s="185" t="str">
        <x:v>url:4da1ec5de4bbf03bdc2c</x:v>
      </x:c>
      <x:c r="B132" s="180" t="str">
        <x:v>West Pharma. Services IL, Ltd.</x:v>
      </x:c>
      <x:c r="C132" s="180" t="str">
        <x:v>100%-owned subsidiary</x:v>
      </x:c>
      <x:c r="D132" s="180" t="str">
        <x:v>MixJect</x:v>
      </x:c>
      <x:c r="E132" s="180" t="str">
        <x:v>Vial Transfer Devices</x:v>
      </x:c>
      <x:c r="F132" s="180" t="str">
        <x:v>Reconstitution and transfer</x:v>
      </x:c>
      <x:c r="G132" s="180" t="str">
        <x:v>MixJect Transfer Device 13mm</x:v>
      </x:c>
      <x:c r="H132" s="180" t="str">
        <x:v>Family</x:v>
      </x:c>
      <x:c r="I132" s="205" t="str"/>
      <x:c r="J132" s="180" t="str">
        <x:v>13mm</x:v>
      </x:c>
      <x:c r="K132" s="180" t="str"/>
      <x:c r="L132" s="180" t="str"/>
      <x:c r="M132" s="180" t="str"/>
      <x:c r="N132" s="180" t="str"/>
      <x:c r="O132" s="180" t="str"/>
      <x:c r="P132" s="180" t="str"/>
      <x:c r="Q132" s="180" t="str"/>
      <x:c r="R132" s="180" t="str">
        <x:v>Global / availability varies</x:v>
      </x:c>
      <x:c r="S132" s="180" t="str">
        <x:v>Contact West / account dependent</x:v>
      </x:c>
      <x:c r="T132" s="180" t="str">
        <x:v>Active</x:v>
      </x:c>
      <x:c r="U132" s="180" t="str">
        <x:v>High</x:v>
      </x:c>
      <x:c r="V132" s="180" t="str">
        <x:v>Public family verified</x:v>
      </x:c>
      <x:c r="W132" s="180" t="str">
        <x:v>West official website</x:v>
      </x:c>
      <x:c r="X132" s="180" t="str">
        <x:v>https://www.westpharma.com/products/vial-transfer-devices/mixject-transfer-device</x:v>
      </x:c>
      <x:c r="Y132" s="199" t="n">
        <x:v>46224.942662037036</x:v>
      </x:c>
      <x:c r="Z132" s="199" t="n">
        <x:v>46224.942662037036</x:v>
      </x:c>
      <x:c r="AA132" s="180" t="n">
        <x:v>0</x:v>
      </x:c>
      <x:c r="AB132" s="180" t="n">
        <x:v>1</x:v>
      </x:c>
      <x:c r="AC132" s="180" t="str">
        <x:v>Vial-to-prefilled-syringe transfer; optional needle configurations. Public-source seed researched through 2026-07-21.</x:v>
      </x:c>
      <x:c r="AD132" s="186" t="str">
        <x:f>IF(OR(T132&lt;&gt;"Active",U132="Low",ISNUMBER(SEARCH("not publicly",V132)),ISNUMBER(SEARCH("review",T132))),"REVIEW","OK")</x:f>
        <x:v>OK</x:v>
      </x:c>
    </x:row>
    <x:row r="133">
      <x:c r="A133" s="185" t="str">
        <x:v>url:4828c787e774101c2539</x:v>
      </x:c>
      <x:c r="B133" s="180" t="str">
        <x:v>West Pharma. Services IL, Ltd.</x:v>
      </x:c>
      <x:c r="C133" s="180" t="str">
        <x:v>100%-owned subsidiary</x:v>
      </x:c>
      <x:c r="D133" s="180" t="str">
        <x:v>MixJect</x:v>
      </x:c>
      <x:c r="E133" s="180" t="str">
        <x:v>Vial Transfer Devices</x:v>
      </x:c>
      <x:c r="F133" s="180" t="str">
        <x:v>Reconstitution and transfer</x:v>
      </x:c>
      <x:c r="G133" s="180" t="str">
        <x:v>MixJect Transfer Device 20mm</x:v>
      </x:c>
      <x:c r="H133" s="180" t="str">
        <x:v>Family</x:v>
      </x:c>
      <x:c r="I133" s="205" t="str"/>
      <x:c r="J133" s="180" t="str">
        <x:v>20mm</x:v>
      </x:c>
      <x:c r="K133" s="180" t="str"/>
      <x:c r="L133" s="180" t="str"/>
      <x:c r="M133" s="180" t="str"/>
      <x:c r="N133" s="180" t="str"/>
      <x:c r="O133" s="180" t="str"/>
      <x:c r="P133" s="180" t="str"/>
      <x:c r="Q133" s="180" t="str"/>
      <x:c r="R133" s="180" t="str">
        <x:v>Global / availability varies</x:v>
      </x:c>
      <x:c r="S133" s="180" t="str">
        <x:v>Contact West / account dependent</x:v>
      </x:c>
      <x:c r="T133" s="180" t="str">
        <x:v>Active</x:v>
      </x:c>
      <x:c r="U133" s="180" t="str">
        <x:v>High</x:v>
      </x:c>
      <x:c r="V133" s="180" t="str">
        <x:v>Public family verified</x:v>
      </x:c>
      <x:c r="W133" s="180" t="str">
        <x:v>West official website</x:v>
      </x:c>
      <x:c r="X133" s="180" t="str">
        <x:v>https://www.westpharma.com/products/vial-transfer-devices/mixject-transfer-device</x:v>
      </x:c>
      <x:c r="Y133" s="199" t="n">
        <x:v>46224.942662037036</x:v>
      </x:c>
      <x:c r="Z133" s="199" t="n">
        <x:v>46224.942662037036</x:v>
      </x:c>
      <x:c r="AA133" s="180" t="n">
        <x:v>0</x:v>
      </x:c>
      <x:c r="AB133" s="180" t="n">
        <x:v>1</x:v>
      </x:c>
      <x:c r="AC133" s="180" t="str">
        <x:v>Vial-to-prefilled-syringe transfer; 20mm 21G safety-needle option described publicly. Public-source seed researched through 2026-07-21.</x:v>
      </x:c>
      <x:c r="AD133" s="186" t="str">
        <x:f>IF(OR(T133&lt;&gt;"Active",U133="Low",ISNUMBER(SEARCH("not publicly",V133)),ISNUMBER(SEARCH("review",T133))),"REVIEW","OK")</x:f>
        <x:v>OK</x:v>
      </x:c>
    </x:row>
    <x:row r="134">
      <x:c r="A134" s="185" t="str">
        <x:v>url:f7cf1728b87501253065</x:v>
      </x:c>
      <x:c r="B134" s="180" t="str">
        <x:v>West Pharma. Services IL, Ltd.</x:v>
      </x:c>
      <x:c r="C134" s="180" t="str">
        <x:v>100%-owned subsidiary</x:v>
      </x:c>
      <x:c r="D134" s="180" t="str">
        <x:v>Vial Adapter</x:v>
      </x:c>
      <x:c r="E134" s="180" t="str">
        <x:v>Vial Transfer Devices</x:v>
      </x:c>
      <x:c r="F134" s="180" t="str">
        <x:v>Reconstitution and transfer</x:v>
      </x:c>
      <x:c r="G134" s="180" t="str">
        <x:v>Swabable Vial Adapter Transfer Device</x:v>
      </x:c>
      <x:c r="H134" s="180" t="str">
        <x:v>Family</x:v>
      </x:c>
      <x:c r="I134" s="205" t="str"/>
      <x:c r="J134" s="180" t="str">
        <x:v>Configurable</x:v>
      </x:c>
      <x:c r="K134" s="180" t="str"/>
      <x:c r="L134" s="180" t="str"/>
      <x:c r="M134" s="180" t="str"/>
      <x:c r="N134" s="180" t="str"/>
      <x:c r="O134" s="180" t="str"/>
      <x:c r="P134" s="180" t="str"/>
      <x:c r="Q134" s="180" t="str"/>
      <x:c r="R134" s="180" t="str">
        <x:v>Global / availability varies</x:v>
      </x:c>
      <x:c r="S134" s="180" t="str">
        <x:v>Contact West / account dependent</x:v>
      </x:c>
      <x:c r="T134" s="180" t="str">
        <x:v>Active</x:v>
      </x:c>
      <x:c r="U134" s="180" t="str">
        <x:v>High</x:v>
      </x:c>
      <x:c r="V134" s="180" t="str">
        <x:v>Public family verified</x:v>
      </x:c>
      <x:c r="W134" s="180" t="str">
        <x:v>West official website</x:v>
      </x:c>
      <x:c r="X134" s="180" t="str">
        <x:v>https://www.westpharma.com/products/vial-transfer-devices/vented-swabable-syringe-vial-adapters</x:v>
      </x:c>
      <x:c r="Y134" s="199" t="n">
        <x:v>46224.942662037036</x:v>
      </x:c>
      <x:c r="Z134" s="199" t="n">
        <x:v>46224.942662037036</x:v>
      </x:c>
      <x:c r="AA134" s="180" t="n">
        <x:v>0</x:v>
      </x:c>
      <x:c r="AB134" s="180" t="n">
        <x:v>1</x:v>
      </x:c>
      <x:c r="AC134" s="180" t="str">
        <x:v>Single-lumen spike with swabable valve for multiple needle-free accesses. Public-source seed researched through 2026-07-21.</x:v>
      </x:c>
      <x:c r="AD134" s="186" t="str">
        <x:f>IF(OR(T134&lt;&gt;"Active",U134="Low",ISNUMBER(SEARCH("not publicly",V134)),ISNUMBER(SEARCH("review",T134))),"REVIEW","OK")</x:f>
        <x:v>OK</x:v>
      </x:c>
    </x:row>
    <x:row r="135">
      <x:c r="A135" s="185" t="str">
        <x:v>url:4de33cb8dcf497126634</x:v>
      </x:c>
      <x:c r="B135" s="180" t="str">
        <x:v>West Pharma. Services IL, Ltd.</x:v>
      </x:c>
      <x:c r="C135" s="180" t="str">
        <x:v>100%-owned subsidiary</x:v>
      </x:c>
      <x:c r="D135" s="180" t="str">
        <x:v>Vial Adapter</x:v>
      </x:c>
      <x:c r="E135" s="180" t="str">
        <x:v>Vial Transfer Devices</x:v>
      </x:c>
      <x:c r="F135" s="180" t="str">
        <x:v>Reconstitution and transfer</x:v>
      </x:c>
      <x:c r="G135" s="180" t="str">
        <x:v>Vented Vial Adapter Transfer Device</x:v>
      </x:c>
      <x:c r="H135" s="180" t="str">
        <x:v>Family</x:v>
      </x:c>
      <x:c r="I135" s="205" t="str"/>
      <x:c r="J135" s="180" t="str">
        <x:v>Configurable</x:v>
      </x:c>
      <x:c r="K135" s="180" t="str"/>
      <x:c r="L135" s="180" t="str"/>
      <x:c r="M135" s="180" t="str"/>
      <x:c r="N135" s="180" t="str"/>
      <x:c r="O135" s="180" t="str"/>
      <x:c r="P135" s="180" t="str"/>
      <x:c r="Q135" s="180" t="str"/>
      <x:c r="R135" s="180" t="str">
        <x:v>Global / availability varies</x:v>
      </x:c>
      <x:c r="S135" s="180" t="str">
        <x:v>Contact West / account dependent</x:v>
      </x:c>
      <x:c r="T135" s="180" t="str">
        <x:v>Active</x:v>
      </x:c>
      <x:c r="U135" s="180" t="str">
        <x:v>High</x:v>
      </x:c>
      <x:c r="V135" s="180" t="str">
        <x:v>Public family verified</x:v>
      </x:c>
      <x:c r="W135" s="180" t="str">
        <x:v>West official website</x:v>
      </x:c>
      <x:c r="X135" s="180" t="str">
        <x:v>https://www.westpharma.com/products/vial-transfer-devices/vented-swabable-syringe-vial-adapters</x:v>
      </x:c>
      <x:c r="Y135" s="199" t="n">
        <x:v>46224.942662037036</x:v>
      </x:c>
      <x:c r="Z135" s="199" t="n">
        <x:v>46224.942662037036</x:v>
      </x:c>
      <x:c r="AA135" s="180" t="n">
        <x:v>0</x:v>
      </x:c>
      <x:c r="AB135" s="180" t="n">
        <x:v>1</x:v>
      </x:c>
      <x:c r="AC135" s="180" t="str">
        <x:v>Two-lumen spike with optional 0.2 micron hydrophobic air filter. Public-source seed researched through 2026-07-21.</x:v>
      </x:c>
      <x:c r="AD135" s="186" t="str">
        <x:f>IF(OR(T135&lt;&gt;"Active",U135="Low",ISNUMBER(SEARCH("not publicly",V135)),ISNUMBER(SEARCH("review",T135))),"REVIEW","OK")</x:f>
        <x:v>OK</x:v>
      </x:c>
    </x:row>
    <x:row r="136">
      <x:c r="A136" s="185" t="str">
        <x:v>url:f3f99dc4b33bd04b6de8</x:v>
      </x:c>
      <x:c r="B136" s="180" t="str">
        <x:v>West Pharma. Services IL, Ltd.</x:v>
      </x:c>
      <x:c r="C136" s="180" t="str">
        <x:v>100%-owned subsidiary</x:v>
      </x:c>
      <x:c r="D136" s="180" t="str">
        <x:v>Vial Adapter</x:v>
      </x:c>
      <x:c r="E136" s="180" t="str">
        <x:v>Vial Transfer Devices</x:v>
      </x:c>
      <x:c r="F136" s="180" t="str">
        <x:v>Reconstitution and transfer</x:v>
      </x:c>
      <x:c r="G136" s="180" t="str">
        <x:v>Vial Adapter Transfer Device</x:v>
      </x:c>
      <x:c r="H136" s="180" t="str">
        <x:v>Family</x:v>
      </x:c>
      <x:c r="I136" s="205" t="str"/>
      <x:c r="J136" s="180" t="str">
        <x:v>Configurable</x:v>
      </x:c>
      <x:c r="K136" s="180" t="str"/>
      <x:c r="L136" s="180" t="str"/>
      <x:c r="M136" s="180" t="str"/>
      <x:c r="N136" s="180" t="str"/>
      <x:c r="O136" s="180" t="str"/>
      <x:c r="P136" s="180" t="str"/>
      <x:c r="Q136" s="180" t="str"/>
      <x:c r="R136" s="180" t="str">
        <x:v>Global / availability varies</x:v>
      </x:c>
      <x:c r="S136" s="180" t="str">
        <x:v>Contact West / account dependent</x:v>
      </x:c>
      <x:c r="T136" s="180" t="str">
        <x:v>Active</x:v>
      </x:c>
      <x:c r="U136" s="180" t="str">
        <x:v>High</x:v>
      </x:c>
      <x:c r="V136" s="180" t="str">
        <x:v>Public family verified</x:v>
      </x:c>
      <x:c r="W136" s="180" t="str">
        <x:v>West official website</x:v>
      </x:c>
      <x:c r="X136" s="180" t="str">
        <x:v>https://www.westpharma.com/products/vial-transfer-devices/vented-swabable-syringe-vial-adapters</x:v>
      </x:c>
      <x:c r="Y136" s="199" t="n">
        <x:v>46224.942662037036</x:v>
      </x:c>
      <x:c r="Z136" s="199" t="n">
        <x:v>46224.942662037036</x:v>
      </x:c>
      <x:c r="AA136" s="180" t="n">
        <x:v>0</x:v>
      </x:c>
      <x:c r="AB136" s="180" t="n">
        <x:v>1</x:v>
      </x:c>
      <x:c r="AC136" s="180" t="str">
        <x:v>Options include siliconized spike and in-line filter. Public-source seed researched through 2026-07-21.</x:v>
      </x:c>
      <x:c r="AD136" s="186" t="str">
        <x:f>IF(OR(T136&lt;&gt;"Active",U136="Low",ISNUMBER(SEARCH("not publicly",V136)),ISNUMBER(SEARCH("review",T136))),"REVIEW","OK")</x:f>
        <x:v>OK</x:v>
      </x:c>
    </x:row>
    <x:row r="137">
      <x:c r="A137" s="185" t="str">
        <x:v>url:ca5703e6f39dd4e560e8</x:v>
      </x:c>
      <x:c r="B137" s="180" t="str">
        <x:v>West Pharma. Services IL, Ltd.</x:v>
      </x:c>
      <x:c r="C137" s="180" t="str">
        <x:v>100%-owned subsidiary</x:v>
      </x:c>
      <x:c r="D137" s="180" t="str">
        <x:v>Vial2Bag Advanced</x:v>
      </x:c>
      <x:c r="E137" s="180" t="str">
        <x:v>Vial Transfer Devices</x:v>
      </x:c>
      <x:c r="F137" s="180" t="str">
        <x:v>Reconstitution and transfer</x:v>
      </x:c>
      <x:c r="G137" s="180" t="str">
        <x:v>Vial2Bag Advanced 13mm Admixture Device</x:v>
      </x:c>
      <x:c r="H137" s="180" t="str">
        <x:v>Family</x:v>
      </x:c>
      <x:c r="I137" s="205" t="str"/>
      <x:c r="J137" s="180" t="str">
        <x:v>13mm</x:v>
      </x:c>
      <x:c r="K137" s="180" t="str"/>
      <x:c r="L137" s="180" t="str"/>
      <x:c r="M137" s="180" t="str"/>
      <x:c r="N137" s="180" t="str"/>
      <x:c r="O137" s="180" t="str"/>
      <x:c r="P137" s="180" t="str"/>
      <x:c r="Q137" s="180" t="str"/>
      <x:c r="R137" s="180" t="str">
        <x:v>Global / availability varies</x:v>
      </x:c>
      <x:c r="S137" s="180" t="str">
        <x:v>Contact West / account dependent</x:v>
      </x:c>
      <x:c r="T137" s="180" t="str">
        <x:v>Active</x:v>
      </x:c>
      <x:c r="U137" s="180" t="str">
        <x:v>High</x:v>
      </x:c>
      <x:c r="V137" s="180" t="str">
        <x:v>Public family verified</x:v>
      </x:c>
      <x:c r="W137" s="180" t="str">
        <x:v>West official website</x:v>
      </x:c>
      <x:c r="X137" s="180" t="str">
        <x:v>https://www.westpharma.com/products/vial-transfer-devices/vial2bag-advanced-admixture-devices</x:v>
      </x:c>
      <x:c r="Y137" s="199" t="n">
        <x:v>46224.942662037036</x:v>
      </x:c>
      <x:c r="Z137" s="199" t="n">
        <x:v>46224.942662037036</x:v>
      </x:c>
      <x:c r="AA137" s="180" t="n">
        <x:v>0</x:v>
      </x:c>
      <x:c r="AB137" s="180" t="n">
        <x:v>1</x:v>
      </x:c>
      <x:c r="AC137" s="180" t="str">
        <x:v>Needle-free vial-to-IV-bag admixture device; FDA record K230988. Public-source seed researched through 2026-07-21.</x:v>
      </x:c>
      <x:c r="AD137" s="186" t="str">
        <x:f>IF(OR(T137&lt;&gt;"Active",U137="Low",ISNUMBER(SEARCH("not publicly",V137)),ISNUMBER(SEARCH("review",T137))),"REVIEW","OK")</x:f>
        <x:v>OK</x:v>
      </x:c>
    </x:row>
    <x:row r="138">
      <x:c r="A138" s="185" t="str">
        <x:v>url:61e7c97f9bacb82d09b9</x:v>
      </x:c>
      <x:c r="B138" s="180" t="str">
        <x:v>West Pharma. Services IL, Ltd.</x:v>
      </x:c>
      <x:c r="C138" s="180" t="str">
        <x:v>100%-owned subsidiary</x:v>
      </x:c>
      <x:c r="D138" s="180" t="str">
        <x:v>Vial2Bag Advanced</x:v>
      </x:c>
      <x:c r="E138" s="180" t="str">
        <x:v>Vial Transfer Devices</x:v>
      </x:c>
      <x:c r="F138" s="180" t="str">
        <x:v>Reconstitution and transfer</x:v>
      </x:c>
      <x:c r="G138" s="180" t="str">
        <x:v>Vial2Bag Advanced 20mm Admixture Device</x:v>
      </x:c>
      <x:c r="H138" s="180" t="str">
        <x:v>Family</x:v>
      </x:c>
      <x:c r="I138" s="205" t="str"/>
      <x:c r="J138" s="180" t="str">
        <x:v>20mm</x:v>
      </x:c>
      <x:c r="K138" s="180" t="str"/>
      <x:c r="L138" s="180" t="str"/>
      <x:c r="M138" s="180" t="str"/>
      <x:c r="N138" s="180" t="str"/>
      <x:c r="O138" s="180" t="str"/>
      <x:c r="P138" s="180" t="str"/>
      <x:c r="Q138" s="180" t="str"/>
      <x:c r="R138" s="180" t="str">
        <x:v>Global / availability varies</x:v>
      </x:c>
      <x:c r="S138" s="180" t="str">
        <x:v>Contact West / account dependent</x:v>
      </x:c>
      <x:c r="T138" s="180" t="str">
        <x:v>Active</x:v>
      </x:c>
      <x:c r="U138" s="180" t="str">
        <x:v>High</x:v>
      </x:c>
      <x:c r="V138" s="180" t="str">
        <x:v>Public family verified</x:v>
      </x:c>
      <x:c r="W138" s="180" t="str">
        <x:v>West official website</x:v>
      </x:c>
      <x:c r="X138" s="180" t="str">
        <x:v>https://www.westpharma.com/products/vial-transfer-devices/vial2bag-advanced-admixture-devices</x:v>
      </x:c>
      <x:c r="Y138" s="199" t="n">
        <x:v>46224.942662037036</x:v>
      </x:c>
      <x:c r="Z138" s="199" t="n">
        <x:v>46224.942662037036</x:v>
      </x:c>
      <x:c r="AA138" s="180" t="n">
        <x:v>0</x:v>
      </x:c>
      <x:c r="AB138" s="180" t="n">
        <x:v>1</x:v>
      </x:c>
      <x:c r="AC138" s="180" t="str">
        <x:v>Needle-free vial-to-IV-bag admixture device. Public-source seed researched through 2026-07-21.</x:v>
      </x:c>
      <x:c r="AD138" s="186" t="str">
        <x:f>IF(OR(T138&lt;&gt;"Active",U138="Low",ISNUMBER(SEARCH("not publicly",V138)),ISNUMBER(SEARCH("review",T138))),"REVIEW","OK")</x:f>
        <x:v>OK</x:v>
      </x:c>
    </x:row>
    <x:row r="139">
      <x:c r="A139" s="185" t="str">
        <x:v>url:b8d79fd1d92a6a903f1c</x:v>
      </x:c>
      <x:c r="B139" s="180" t="str">
        <x:v>West Pharma. Services IL, Ltd.</x:v>
      </x:c>
      <x:c r="C139" s="180" t="str">
        <x:v>100%-owned subsidiary</x:v>
      </x:c>
      <x:c r="D139" s="180" t="str">
        <x:v>Vial2Bag</x:v>
      </x:c>
      <x:c r="E139" s="180" t="str">
        <x:v>Vial Transfer Devices</x:v>
      </x:c>
      <x:c r="F139" s="180" t="str">
        <x:v>Reconstitution and transfer</x:v>
      </x:c>
      <x:c r="G139" s="180" t="str">
        <x:v>Vial2Bag DC Device</x:v>
      </x:c>
      <x:c r="H139" s="180" t="str">
        <x:v>Family</x:v>
      </x:c>
      <x:c r="I139" s="205" t="str"/>
      <x:c r="J139" s="180" t="str"/>
      <x:c r="K139" s="180" t="str"/>
      <x:c r="L139" s="180" t="str"/>
      <x:c r="M139" s="180" t="str"/>
      <x:c r="N139" s="180" t="str"/>
      <x:c r="O139" s="180" t="str"/>
      <x:c r="P139" s="180" t="str"/>
      <x:c r="Q139" s="180" t="str"/>
      <x:c r="R139" s="180" t="str">
        <x:v>Global / availability varies</x:v>
      </x:c>
      <x:c r="S139" s="180" t="str">
        <x:v>No longer commercially available</x:v>
      </x:c>
      <x:c r="T139" s="180" t="str">
        <x:v>Discontinued / replaced</x:v>
      </x:c>
      <x:c r="U139" s="180" t="str">
        <x:v>High</x:v>
      </x:c>
      <x:c r="V139" s="180" t="str">
        <x:v>Official legacy status verified</x:v>
      </x:c>
      <x:c r="W139" s="180" t="str">
        <x:v>West official website</x:v>
      </x:c>
      <x:c r="X139" s="180" t="str">
        <x:v>https://www.westpharma.com/products/vial-transfer-devices/vial2bag-advanced-admixture-devices</x:v>
      </x:c>
      <x:c r="Y139" s="199" t="n">
        <x:v>46224.942662037036</x:v>
      </x:c>
      <x:c r="Z139" s="199" t="n">
        <x:v>46224.942662037036</x:v>
      </x:c>
      <x:c r="AA139" s="180" t="n">
        <x:v>0</x:v>
      </x:c>
      <x:c r="AB139" s="180" t="n">
        <x:v>1</x:v>
      </x:c>
      <x:c r="AC139" s="180" t="str">
        <x:v>Official current page states the older Vial2Bag DC was replaced by Vial2Bag Advanced. Public-source seed researched through 2026-07-21.</x:v>
      </x:c>
      <x:c r="AD139" s="186" t="str">
        <x:f>IF(OR(T139&lt;&gt;"Active",U139="Low",ISNUMBER(SEARCH("not publicly",V139)),ISNUMBER(SEARCH("review",T139))),"REVIEW","OK")</x:f>
        <x:v>REVIEW</x:v>
      </x:c>
    </x:row>
    <x:row r="140">
      <x:c r="A140" s="185" t="str">
        <x:v>fp:c2c96453b9198813a694</x:v>
      </x:c>
      <x:c r="B140" s="180" t="str">
        <x:v>West Contract Manufacturing, LLC / Tech Group entities</x:v>
      </x:c>
      <x:c r="C140" s="180" t="str">
        <x:v>100%-owned subsidiaries</x:v>
      </x:c>
      <x:c r="D140" s="180" t="str"/>
      <x:c r="E140" s="180" t="str">
        <x:v>West Vantage / Contract Manufacturing</x:v>
      </x:c>
      <x:c r="F140" s="180" t="str">
        <x:v>Customer-owned custom products</x:v>
      </x:c>
      <x:c r="G140" s="180" t="str">
        <x:v>Custom Consumer Products</x:v>
      </x:c>
      <x:c r="H140" s="180" t="str">
        <x:v>Custom product class</x:v>
      </x:c>
      <x:c r="I140" s="205" t="str"/>
      <x:c r="J140" s="180" t="str"/>
      <x:c r="K140" s="180" t="str"/>
      <x:c r="L140" s="180" t="str"/>
      <x:c r="M140" s="180" t="str"/>
      <x:c r="N140" s="180" t="str"/>
      <x:c r="O140" s="180" t="str"/>
      <x:c r="P140" s="180" t="str"/>
      <x:c r="Q140" s="180" t="str"/>
      <x:c r="R140" s="180" t="str">
        <x:v>Global / availability varies</x:v>
      </x:c>
      <x:c r="S140" s="180" t="str">
        <x:v>Contact West / account dependent</x:v>
      </x:c>
      <x:c r="T140" s="180" t="str">
        <x:v>Active</x:v>
      </x:c>
      <x:c r="U140" s="180" t="str">
        <x:v>High</x:v>
      </x:c>
      <x:c r="V140" s="180" t="str">
        <x:v>Capability verified; customer product identities not publicly enumerable</x:v>
      </x:c>
      <x:c r="W140" s="180" t="str">
        <x:v>West 2025 Form 10-K and contract-manufacturing site</x:v>
      </x:c>
      <x:c r="X140" s="180" t="str">
        <x:v>https://www.westpharma.com/services/contract-manufacturing</x:v>
      </x:c>
      <x:c r="Y140" s="199" t="n">
        <x:v>46224.942662037036</x:v>
      </x:c>
      <x:c r="Z140" s="199" t="n">
        <x:v>46224.942662037036</x:v>
      </x:c>
      <x:c r="AA140" s="180" t="n">
        <x:v>0</x:v>
      </x:c>
      <x:c r="AB140" s="180" t="n">
        <x:v>1</x:v>
      </x:c>
      <x:c r="AC140" s="180" t="str">
        <x:v>Customer-owned products may be confidential. Full item-level coverage requires internal/customer documentation and cannot be obtained from public websites alone. Public-source seed researched through 2026-07-21.</x:v>
      </x:c>
      <x:c r="AD140" s="186" t="str">
        <x:f>IF(OR(T140&lt;&gt;"Active",U140="Low",ISNUMBER(SEARCH("not publicly",V140)),ISNUMBER(SEARCH("review",T140))),"REVIEW","OK")</x:f>
        <x:v>REVIEW</x:v>
      </x:c>
    </x:row>
    <x:row r="141">
      <x:c r="A141" s="185" t="str">
        <x:v>fp:73225bd1b0483e8ef133</x:v>
      </x:c>
      <x:c r="B141" s="180" t="str">
        <x:v>West Contract Manufacturing, LLC / Tech Group entities</x:v>
      </x:c>
      <x:c r="C141" s="180" t="str">
        <x:v>100%-owned subsidiaries</x:v>
      </x:c>
      <x:c r="D141" s="180" t="str"/>
      <x:c r="E141" s="180" t="str">
        <x:v>West Vantage / Contract Manufacturing</x:v>
      </x:c>
      <x:c r="F141" s="180" t="str">
        <x:v>Customer-owned custom products</x:v>
      </x:c>
      <x:c r="G141" s="180" t="str">
        <x:v>Custom Diagnostic Components and Devices</x:v>
      </x:c>
      <x:c r="H141" s="180" t="str">
        <x:v>Custom product class</x:v>
      </x:c>
      <x:c r="I141" s="205" t="str"/>
      <x:c r="J141" s="180" t="str"/>
      <x:c r="K141" s="180" t="str"/>
      <x:c r="L141" s="180" t="str"/>
      <x:c r="M141" s="180" t="str"/>
      <x:c r="N141" s="180" t="str"/>
      <x:c r="O141" s="180" t="str"/>
      <x:c r="P141" s="180" t="str"/>
      <x:c r="Q141" s="180" t="str"/>
      <x:c r="R141" s="180" t="str">
        <x:v>Global / availability varies</x:v>
      </x:c>
      <x:c r="S141" s="180" t="str">
        <x:v>Contact West / account dependent</x:v>
      </x:c>
      <x:c r="T141" s="180" t="str">
        <x:v>Active</x:v>
      </x:c>
      <x:c r="U141" s="180" t="str">
        <x:v>High</x:v>
      </x:c>
      <x:c r="V141" s="180" t="str">
        <x:v>Capability verified; customer product identities not publicly enumerable</x:v>
      </x:c>
      <x:c r="W141" s="180" t="str">
        <x:v>West 2025 Form 10-K and contract-manufacturing site</x:v>
      </x:c>
      <x:c r="X141" s="180" t="str">
        <x:v>https://www.westpharma.com/services/contract-manufacturing</x:v>
      </x:c>
      <x:c r="Y141" s="199" t="n">
        <x:v>46224.942662037036</x:v>
      </x:c>
      <x:c r="Z141" s="199" t="n">
        <x:v>46224.942662037036</x:v>
      </x:c>
      <x:c r="AA141" s="180" t="n">
        <x:v>0</x:v>
      </x:c>
      <x:c r="AB141" s="180" t="n">
        <x:v>1</x:v>
      </x:c>
      <x:c r="AC141" s="180" t="str">
        <x:v>Customer-owned products may be confidential. Full item-level coverage requires internal/customer documentation and cannot be obtained from public websites alone. Public-source seed researched through 2026-07-21.</x:v>
      </x:c>
      <x:c r="AD141" s="186" t="str">
        <x:f>IF(OR(T141&lt;&gt;"Active",U141="Low",ISNUMBER(SEARCH("not publicly",V141)),ISNUMBER(SEARCH("review",T141))),"REVIEW","OK")</x:f>
        <x:v>REVIEW</x:v>
      </x:c>
    </x:row>
    <x:row r="142">
      <x:c r="A142" s="185" t="str">
        <x:v>fp:579002c61ee84105389b</x:v>
      </x:c>
      <x:c r="B142" s="180" t="str">
        <x:v>West Contract Manufacturing, LLC / Tech Group entities</x:v>
      </x:c>
      <x:c r="C142" s="180" t="str">
        <x:v>100%-owned subsidiaries</x:v>
      </x:c>
      <x:c r="D142" s="180" t="str"/>
      <x:c r="E142" s="180" t="str">
        <x:v>West Vantage / Contract Manufacturing</x:v>
      </x:c>
      <x:c r="F142" s="180" t="str">
        <x:v>Customer-owned custom products</x:v>
      </x:c>
      <x:c r="G142" s="180" t="str">
        <x:v>Custom Injectable and Drug-Delivery Components and Devices</x:v>
      </x:c>
      <x:c r="H142" s="180" t="str">
        <x:v>Custom product class</x:v>
      </x:c>
      <x:c r="I142" s="205" t="str"/>
      <x:c r="J142" s="180" t="str"/>
      <x:c r="K142" s="180" t="str"/>
      <x:c r="L142" s="180" t="str"/>
      <x:c r="M142" s="180" t="str"/>
      <x:c r="N142" s="180" t="str"/>
      <x:c r="O142" s="180" t="str"/>
      <x:c r="P142" s="180" t="str"/>
      <x:c r="Q142" s="180" t="str"/>
      <x:c r="R142" s="180" t="str">
        <x:v>Global / availability varies</x:v>
      </x:c>
      <x:c r="S142" s="180" t="str">
        <x:v>Contact West / account dependent</x:v>
      </x:c>
      <x:c r="T142" s="180" t="str">
        <x:v>Active</x:v>
      </x:c>
      <x:c r="U142" s="180" t="str">
        <x:v>High</x:v>
      </x:c>
      <x:c r="V142" s="180" t="str">
        <x:v>Capability verified; customer product identities not publicly enumerable</x:v>
      </x:c>
      <x:c r="W142" s="180" t="str">
        <x:v>West 2025 Form 10-K and contract-manufacturing site</x:v>
      </x:c>
      <x:c r="X142" s="180" t="str">
        <x:v>https://www.westpharma.com/services/contract-manufacturing</x:v>
      </x:c>
      <x:c r="Y142" s="199" t="n">
        <x:v>46224.942662037036</x:v>
      </x:c>
      <x:c r="Z142" s="199" t="n">
        <x:v>46224.942662037036</x:v>
      </x:c>
      <x:c r="AA142" s="180" t="n">
        <x:v>0</x:v>
      </x:c>
      <x:c r="AB142" s="180" t="n">
        <x:v>1</x:v>
      </x:c>
      <x:c r="AC142" s="180" t="str">
        <x:v>Customer-owned products may be confidential. Full item-level coverage requires internal/customer documentation and cannot be obtained from public websites alone. Public-source seed researched through 2026-07-21.</x:v>
      </x:c>
      <x:c r="AD142" s="186" t="str">
        <x:f>IF(OR(T142&lt;&gt;"Active",U142="Low",ISNUMBER(SEARCH("not publicly",V142)),ISNUMBER(SEARCH("review",T142))),"REVIEW","OK")</x:f>
        <x:v>REVIEW</x:v>
      </x:c>
    </x:row>
    <x:row r="143">
      <x:c r="A143" s="185" t="str">
        <x:v>fp:0db3d3ce8705ad7d493b</x:v>
      </x:c>
      <x:c r="B143" s="180" t="str">
        <x:v>West Contract Manufacturing, LLC / Tech Group entities</x:v>
      </x:c>
      <x:c r="C143" s="180" t="str">
        <x:v>100%-owned subsidiaries</x:v>
      </x:c>
      <x:c r="D143" s="180" t="str"/>
      <x:c r="E143" s="180" t="str">
        <x:v>West Vantage / Contract Manufacturing</x:v>
      </x:c>
      <x:c r="F143" s="180" t="str">
        <x:v>Customer-owned custom products</x:v>
      </x:c>
      <x:c r="G143" s="180" t="str">
        <x:v>Custom Ophthalmic Components and Devices</x:v>
      </x:c>
      <x:c r="H143" s="180" t="str">
        <x:v>Custom product class</x:v>
      </x:c>
      <x:c r="I143" s="205" t="str"/>
      <x:c r="J143" s="180" t="str"/>
      <x:c r="K143" s="180" t="str"/>
      <x:c r="L143" s="180" t="str"/>
      <x:c r="M143" s="180" t="str"/>
      <x:c r="N143" s="180" t="str"/>
      <x:c r="O143" s="180" t="str"/>
      <x:c r="P143" s="180" t="str"/>
      <x:c r="Q143" s="180" t="str"/>
      <x:c r="R143" s="180" t="str">
        <x:v>Global / availability varies</x:v>
      </x:c>
      <x:c r="S143" s="180" t="str">
        <x:v>Contact West / account dependent</x:v>
      </x:c>
      <x:c r="T143" s="180" t="str">
        <x:v>Active</x:v>
      </x:c>
      <x:c r="U143" s="180" t="str">
        <x:v>High</x:v>
      </x:c>
      <x:c r="V143" s="180" t="str">
        <x:v>Capability verified; customer product identities not publicly enumerable</x:v>
      </x:c>
      <x:c r="W143" s="180" t="str">
        <x:v>West 2025 Form 10-K and contract-manufacturing site</x:v>
      </x:c>
      <x:c r="X143" s="180" t="str">
        <x:v>https://www.westpharma.com/services/contract-manufacturing</x:v>
      </x:c>
      <x:c r="Y143" s="199" t="n">
        <x:v>46224.942662037036</x:v>
      </x:c>
      <x:c r="Z143" s="199" t="n">
        <x:v>46224.942662037036</x:v>
      </x:c>
      <x:c r="AA143" s="180" t="n">
        <x:v>0</x:v>
      </x:c>
      <x:c r="AB143" s="180" t="n">
        <x:v>1</x:v>
      </x:c>
      <x:c r="AC143" s="180" t="str">
        <x:v>Customer-owned products may be confidential. Full item-level coverage requires internal/customer documentation and cannot be obtained from public websites alone. Public-source seed researched through 2026-07-21.</x:v>
      </x:c>
      <x:c r="AD143" s="186" t="str">
        <x:f>IF(OR(T143&lt;&gt;"Active",U143="Low",ISNUMBER(SEARCH("not publicly",V143)),ISNUMBER(SEARCH("review",T143))),"REVIEW","OK")</x:f>
        <x:v>REVIEW</x:v>
      </x:c>
    </x:row>
    <x:row r="144">
      <x:c r="A144" s="185" t="str">
        <x:v>fp:6330440ca99faa44ef03</x:v>
      </x:c>
      <x:c r="B144" s="180" t="str">
        <x:v>West Contract Manufacturing, LLC / Tech Group entities</x:v>
      </x:c>
      <x:c r="C144" s="180" t="str">
        <x:v>100%-owned subsidiaries</x:v>
      </x:c>
      <x:c r="D144" s="180" t="str"/>
      <x:c r="E144" s="180" t="str">
        <x:v>West Vantage / Contract Manufacturing</x:v>
      </x:c>
      <x:c r="F144" s="180" t="str">
        <x:v>Customer-owned custom products</x:v>
      </x:c>
      <x:c r="G144" s="180" t="str">
        <x:v>Custom Surgical Components and Devices</x:v>
      </x:c>
      <x:c r="H144" s="180" t="str">
        <x:v>Custom product class</x:v>
      </x:c>
      <x:c r="I144" s="205" t="str"/>
      <x:c r="J144" s="180" t="str"/>
      <x:c r="K144" s="180" t="str"/>
      <x:c r="L144" s="180" t="str"/>
      <x:c r="M144" s="180" t="str"/>
      <x:c r="N144" s="180" t="str"/>
      <x:c r="O144" s="180" t="str"/>
      <x:c r="P144" s="180" t="str"/>
      <x:c r="Q144" s="180" t="str"/>
      <x:c r="R144" s="180" t="str">
        <x:v>Global / availability varies</x:v>
      </x:c>
      <x:c r="S144" s="180" t="str">
        <x:v>Contact West / account dependent</x:v>
      </x:c>
      <x:c r="T144" s="180" t="str">
        <x:v>Active</x:v>
      </x:c>
      <x:c r="U144" s="180" t="str">
        <x:v>High</x:v>
      </x:c>
      <x:c r="V144" s="180" t="str">
        <x:v>Capability verified; customer product identities not publicly enumerable</x:v>
      </x:c>
      <x:c r="W144" s="180" t="str">
        <x:v>West 2025 Form 10-K and contract-manufacturing site</x:v>
      </x:c>
      <x:c r="X144" s="180" t="str">
        <x:v>https://www.westpharma.com/services/contract-manufacturing</x:v>
      </x:c>
      <x:c r="Y144" s="199" t="n">
        <x:v>46224.942662037036</x:v>
      </x:c>
      <x:c r="Z144" s="199" t="n">
        <x:v>46224.942662037036</x:v>
      </x:c>
      <x:c r="AA144" s="180" t="n">
        <x:v>0</x:v>
      </x:c>
      <x:c r="AB144" s="180" t="n">
        <x:v>1</x:v>
      </x:c>
      <x:c r="AC144" s="180" t="str">
        <x:v>Customer-owned products may be confidential. Full item-level coverage requires internal/customer documentation and cannot be obtained from public websites alone. Public-source seed researched through 2026-07-21.</x:v>
      </x:c>
      <x:c r="AD144" s="186" t="str">
        <x:f>IF(OR(T144&lt;&gt;"Active",U144="Low",ISNUMBER(SEARCH("not publicly",V144)),ISNUMBER(SEARCH("review",T144))),"REVIEW","OK")</x:f>
        <x:v>REVIEW</x:v>
      </x:c>
    </x:row>
    <x:row r="145">
      <x:c r="A145" s="185" t="str">
        <x:v>fp:efdd5d008c0ebe120e94</x:v>
      </x:c>
      <x:c r="B145" s="180" t="str">
        <x:v>West Contract Manufacturing, LLC / Tech Group entities</x:v>
      </x:c>
      <x:c r="C145" s="180" t="str">
        <x:v>100%-owned subsidiaries</x:v>
      </x:c>
      <x:c r="D145" s="180" t="str"/>
      <x:c r="E145" s="180" t="str">
        <x:v>West Vantage / Contract Manufacturing</x:v>
      </x:c>
      <x:c r="F145" s="180" t="str">
        <x:v>Manufacturing technology</x:v>
      </x:c>
      <x:c r="G145" s="180" t="str">
        <x:v>Automated Device Assemblies</x:v>
      </x:c>
      <x:c r="H145" s="180" t="str">
        <x:v>Service</x:v>
      </x:c>
      <x:c r="I145" s="205" t="str"/>
      <x:c r="J145" s="180" t="str"/>
      <x:c r="K145" s="180" t="str"/>
      <x:c r="L145" s="180" t="str"/>
      <x:c r="M145" s="180" t="str"/>
      <x:c r="N145" s="180" t="str"/>
      <x:c r="O145" s="180" t="str"/>
      <x:c r="P145" s="180" t="str"/>
      <x:c r="Q145" s="180" t="str"/>
      <x:c r="R145" s="180" t="str">
        <x:v>Global / availability varies</x:v>
      </x:c>
      <x:c r="S145" s="180" t="str">
        <x:v>Contact West / account dependent</x:v>
      </x:c>
      <x:c r="T145" s="180" t="str">
        <x:v>Active</x:v>
      </x:c>
      <x:c r="U145" s="180" t="str">
        <x:v>High</x:v>
      </x:c>
      <x:c r="V145" s="180" t="str">
        <x:v>Capability verified; customer product identities not publicly enumerable</x:v>
      </x:c>
      <x:c r="W145" s="180" t="str">
        <x:v>West 2025 Form 10-K and contract-manufacturing site</x:v>
      </x:c>
      <x:c r="X145" s="180" t="str">
        <x:v>https://www.westpharma.com/services/contract-manufacturing</x:v>
      </x:c>
      <x:c r="Y145" s="199" t="n">
        <x:v>46224.942662037036</x:v>
      </x:c>
      <x:c r="Z145" s="199" t="n">
        <x:v>46224.942662037036</x:v>
      </x:c>
      <x:c r="AA145" s="180" t="n">
        <x:v>0</x:v>
      </x:c>
      <x:c r="AB145" s="180" t="n">
        <x:v>1</x:v>
      </x:c>
      <x:c r="AC145" s="180" t="str">
        <x:v>Customer-owned products may be confidential. Full item-level coverage requires internal/customer documentation and cannot be obtained from public websites alone. Public-source seed researched through 2026-07-21.</x:v>
      </x:c>
      <x:c r="AD145" s="186" t="str">
        <x:f>IF(OR(T145&lt;&gt;"Active",U145="Low",ISNUMBER(SEARCH("not publicly",V145)),ISNUMBER(SEARCH("review",T145))),"REVIEW","OK")</x:f>
        <x:v>REVIEW</x:v>
      </x:c>
    </x:row>
    <x:row r="146">
      <x:c r="A146" s="185" t="str">
        <x:v>fp:740fca79e3fcc5558c7b</x:v>
      </x:c>
      <x:c r="B146" s="180" t="str">
        <x:v>West Contract Manufacturing, LLC / Tech Group entities</x:v>
      </x:c>
      <x:c r="C146" s="180" t="str">
        <x:v>100%-owned subsidiaries</x:v>
      </x:c>
      <x:c r="D146" s="180" t="str"/>
      <x:c r="E146" s="180" t="str">
        <x:v>West Vantage / Contract Manufacturing</x:v>
      </x:c>
      <x:c r="F146" s="180" t="str">
        <x:v>Manufacturing technology</x:v>
      </x:c>
      <x:c r="G146" s="180" t="str">
        <x:v>Cleanroom Molded Components</x:v>
      </x:c>
      <x:c r="H146" s="180" t="str">
        <x:v>Custom product class</x:v>
      </x:c>
      <x:c r="I146" s="205" t="str"/>
      <x:c r="J146" s="180" t="str"/>
      <x:c r="K146" s="180" t="str"/>
      <x:c r="L146" s="180" t="str"/>
      <x:c r="M146" s="180" t="str"/>
      <x:c r="N146" s="180" t="str"/>
      <x:c r="O146" s="180" t="str"/>
      <x:c r="P146" s="180" t="str"/>
      <x:c r="Q146" s="180" t="str"/>
      <x:c r="R146" s="180" t="str">
        <x:v>Global / availability varies</x:v>
      </x:c>
      <x:c r="S146" s="180" t="str">
        <x:v>Contact West / account dependent</x:v>
      </x:c>
      <x:c r="T146" s="180" t="str">
        <x:v>Active</x:v>
      </x:c>
      <x:c r="U146" s="180" t="str">
        <x:v>High</x:v>
      </x:c>
      <x:c r="V146" s="180" t="str">
        <x:v>Capability verified; customer product identities not publicly enumerable</x:v>
      </x:c>
      <x:c r="W146" s="180" t="str">
        <x:v>West 2025 Form 10-K and contract-manufacturing site</x:v>
      </x:c>
      <x:c r="X146" s="180" t="str">
        <x:v>https://www.westpharma.com/services/contract-manufacturing</x:v>
      </x:c>
      <x:c r="Y146" s="199" t="n">
        <x:v>46224.942662037036</x:v>
      </x:c>
      <x:c r="Z146" s="199" t="n">
        <x:v>46224.942662037036</x:v>
      </x:c>
      <x:c r="AA146" s="180" t="n">
        <x:v>0</x:v>
      </x:c>
      <x:c r="AB146" s="180" t="n">
        <x:v>1</x:v>
      </x:c>
      <x:c r="AC146" s="180" t="str">
        <x:v>Customer-owned products may be confidential. Full item-level coverage requires internal/customer documentation and cannot be obtained from public websites alone. Public-source seed researched through 2026-07-21.</x:v>
      </x:c>
      <x:c r="AD146" s="186" t="str">
        <x:f>IF(OR(T146&lt;&gt;"Active",U146="Low",ISNUMBER(SEARCH("not publicly",V146)),ISNUMBER(SEARCH("review",T146))),"REVIEW","OK")</x:f>
        <x:v>REVIEW</x:v>
      </x:c>
    </x:row>
    <x:row r="147">
      <x:c r="A147" s="185" t="str">
        <x:v>fp:cfdf056a11aaac51f9bb</x:v>
      </x:c>
      <x:c r="B147" s="180" t="str">
        <x:v>West Contract Manufacturing, LLC / Tech Group entities</x:v>
      </x:c>
      <x:c r="C147" s="180" t="str">
        <x:v>100%-owned subsidiaries</x:v>
      </x:c>
      <x:c r="D147" s="180" t="str"/>
      <x:c r="E147" s="180" t="str">
        <x:v>West Vantage / Contract Manufacturing</x:v>
      </x:c>
      <x:c r="F147" s="180" t="str">
        <x:v>Manufacturing technology</x:v>
      </x:c>
      <x:c r="G147" s="180" t="str">
        <x:v>In-Mold Labeled Products</x:v>
      </x:c>
      <x:c r="H147" s="180" t="str">
        <x:v>Custom product class</x:v>
      </x:c>
      <x:c r="I147" s="205" t="str"/>
      <x:c r="J147" s="180" t="str"/>
      <x:c r="K147" s="180" t="str"/>
      <x:c r="L147" s="180" t="str"/>
      <x:c r="M147" s="180" t="str"/>
      <x:c r="N147" s="180" t="str"/>
      <x:c r="O147" s="180" t="str"/>
      <x:c r="P147" s="180" t="str"/>
      <x:c r="Q147" s="180" t="str"/>
      <x:c r="R147" s="180" t="str">
        <x:v>Global / availability varies</x:v>
      </x:c>
      <x:c r="S147" s="180" t="str">
        <x:v>Contact West / account dependent</x:v>
      </x:c>
      <x:c r="T147" s="180" t="str">
        <x:v>Active</x:v>
      </x:c>
      <x:c r="U147" s="180" t="str">
        <x:v>High</x:v>
      </x:c>
      <x:c r="V147" s="180" t="str">
        <x:v>Capability verified; customer product identities not publicly enumerable</x:v>
      </x:c>
      <x:c r="W147" s="180" t="str">
        <x:v>West 2025 Form 10-K and contract-manufacturing site</x:v>
      </x:c>
      <x:c r="X147" s="180" t="str">
        <x:v>https://www.westpharma.com/services/contract-manufacturing</x:v>
      </x:c>
      <x:c r="Y147" s="199" t="n">
        <x:v>46224.942662037036</x:v>
      </x:c>
      <x:c r="Z147" s="199" t="n">
        <x:v>46224.942662037036</x:v>
      </x:c>
      <x:c r="AA147" s="180" t="n">
        <x:v>0</x:v>
      </x:c>
      <x:c r="AB147" s="180" t="n">
        <x:v>1</x:v>
      </x:c>
      <x:c r="AC147" s="180" t="str">
        <x:v>Customer-owned products may be confidential. Full item-level coverage requires internal/customer documentation and cannot be obtained from public websites alone. Public-source seed researched through 2026-07-21.</x:v>
      </x:c>
      <x:c r="AD147" s="186" t="str">
        <x:f>IF(OR(T147&lt;&gt;"Active",U147="Low",ISNUMBER(SEARCH("not publicly",V147)),ISNUMBER(SEARCH("review",T147))),"REVIEW","OK")</x:f>
        <x:v>REVIEW</x:v>
      </x:c>
    </x:row>
    <x:row r="148">
      <x:c r="A148" s="185" t="str">
        <x:v>fp:3d534ad99c908c7f9d4b</x:v>
      </x:c>
      <x:c r="B148" s="180" t="str">
        <x:v>West Contract Manufacturing, LLC / Tech Group entities</x:v>
      </x:c>
      <x:c r="C148" s="180" t="str">
        <x:v>100%-owned subsidiaries</x:v>
      </x:c>
      <x:c r="D148" s="180" t="str"/>
      <x:c r="E148" s="180" t="str">
        <x:v>West Vantage / Contract Manufacturing</x:v>
      </x:c>
      <x:c r="F148" s="180" t="str">
        <x:v>Manufacturing technology</x:v>
      </x:c>
      <x:c r="G148" s="180" t="str">
        <x:v>Multi-Component Molded Products</x:v>
      </x:c>
      <x:c r="H148" s="180" t="str">
        <x:v>Custom product class</x:v>
      </x:c>
      <x:c r="I148" s="205" t="str"/>
      <x:c r="J148" s="180" t="str"/>
      <x:c r="K148" s="180" t="str"/>
      <x:c r="L148" s="180" t="str"/>
      <x:c r="M148" s="180" t="str"/>
      <x:c r="N148" s="180" t="str"/>
      <x:c r="O148" s="180" t="str"/>
      <x:c r="P148" s="180" t="str"/>
      <x:c r="Q148" s="180" t="str"/>
      <x:c r="R148" s="180" t="str">
        <x:v>Global / availability varies</x:v>
      </x:c>
      <x:c r="S148" s="180" t="str">
        <x:v>Contact West / account dependent</x:v>
      </x:c>
      <x:c r="T148" s="180" t="str">
        <x:v>Active</x:v>
      </x:c>
      <x:c r="U148" s="180" t="str">
        <x:v>High</x:v>
      </x:c>
      <x:c r="V148" s="180" t="str">
        <x:v>Capability verified; customer product identities not publicly enumerable</x:v>
      </x:c>
      <x:c r="W148" s="180" t="str">
        <x:v>West 2025 Form 10-K and contract-manufacturing site</x:v>
      </x:c>
      <x:c r="X148" s="180" t="str">
        <x:v>https://www.westpharma.com/services/contract-manufacturing</x:v>
      </x:c>
      <x:c r="Y148" s="199" t="n">
        <x:v>46224.942662037036</x:v>
      </x:c>
      <x:c r="Z148" s="199" t="n">
        <x:v>46224.942662037036</x:v>
      </x:c>
      <x:c r="AA148" s="180" t="n">
        <x:v>0</x:v>
      </x:c>
      <x:c r="AB148" s="180" t="n">
        <x:v>1</x:v>
      </x:c>
      <x:c r="AC148" s="180" t="str">
        <x:v>Customer-owned products may be confidential. Full item-level coverage requires internal/customer documentation and cannot be obtained from public websites alone. Public-source seed researched through 2026-07-21.</x:v>
      </x:c>
      <x:c r="AD148" s="186" t="str">
        <x:f>IF(OR(T148&lt;&gt;"Active",U148="Low",ISNUMBER(SEARCH("not publicly",V148)),ISNUMBER(SEARCH("review",T148))),"REVIEW","OK")</x:f>
        <x:v>REVIEW</x:v>
      </x:c>
    </x:row>
    <x:row r="149">
      <x:c r="A149" s="185" t="str">
        <x:v>fp:e1e6e4f53c3a3686674f</x:v>
      </x:c>
      <x:c r="B149" s="180" t="str">
        <x:v>West Contract Manufacturing, LLC / Tech Group entities</x:v>
      </x:c>
      <x:c r="C149" s="180" t="str">
        <x:v>100%-owned subsidiaries</x:v>
      </x:c>
      <x:c r="D149" s="180" t="str"/>
      <x:c r="E149" s="180" t="str">
        <x:v>West Vantage / Contract Manufacturing</x:v>
      </x:c>
      <x:c r="F149" s="180" t="str">
        <x:v>Manufacturing technology</x:v>
      </x:c>
      <x:c r="G149" s="180" t="str">
        <x:v>Ultrasonically Welded Assemblies</x:v>
      </x:c>
      <x:c r="H149" s="180" t="str">
        <x:v>Service</x:v>
      </x:c>
      <x:c r="I149" s="205" t="str"/>
      <x:c r="J149" s="180" t="str"/>
      <x:c r="K149" s="180" t="str"/>
      <x:c r="L149" s="180" t="str"/>
      <x:c r="M149" s="180" t="str"/>
      <x:c r="N149" s="180" t="str"/>
      <x:c r="O149" s="180" t="str"/>
      <x:c r="P149" s="180" t="str"/>
      <x:c r="Q149" s="180" t="str"/>
      <x:c r="R149" s="180" t="str">
        <x:v>Global / availability varies</x:v>
      </x:c>
      <x:c r="S149" s="180" t="str">
        <x:v>Contact West / account dependent</x:v>
      </x:c>
      <x:c r="T149" s="180" t="str">
        <x:v>Active</x:v>
      </x:c>
      <x:c r="U149" s="180" t="str">
        <x:v>High</x:v>
      </x:c>
      <x:c r="V149" s="180" t="str">
        <x:v>Capability verified; customer product identities not publicly enumerable</x:v>
      </x:c>
      <x:c r="W149" s="180" t="str">
        <x:v>West 2025 Form 10-K and contract-manufacturing site</x:v>
      </x:c>
      <x:c r="X149" s="180" t="str">
        <x:v>https://www.westpharma.com/services/contract-manufacturing</x:v>
      </x:c>
      <x:c r="Y149" s="199" t="n">
        <x:v>46224.942662037036</x:v>
      </x:c>
      <x:c r="Z149" s="199" t="n">
        <x:v>46224.942662037036</x:v>
      </x:c>
      <x:c r="AA149" s="180" t="n">
        <x:v>0</x:v>
      </x:c>
      <x:c r="AB149" s="180" t="n">
        <x:v>1</x:v>
      </x:c>
      <x:c r="AC149" s="180" t="str">
        <x:v>Customer-owned products may be confidential. Full item-level coverage requires internal/customer documentation and cannot be obtained from public websites alone. Public-source seed researched through 2026-07-21.</x:v>
      </x:c>
      <x:c r="AD149" s="186" t="str">
        <x:f>IF(OR(T149&lt;&gt;"Active",U149="Low",ISNUMBER(SEARCH("not publicly",V149)),ISNUMBER(SEARCH("review",T149))),"REVIEW","OK")</x:f>
        <x:v>REVIEW</x:v>
      </x:c>
    </x:row>
    <x:row r="150">
      <x:c r="A150" s="185" t="str">
        <x:v>fp:13087787f9e3606cd03b</x:v>
      </x:c>
      <x:c r="B150" s="180" t="str">
        <x:v>West Contract Manufacturing, LLC / Tech Group entities</x:v>
      </x:c>
      <x:c r="C150" s="180" t="str">
        <x:v>100%-owned subsidiaries</x:v>
      </x:c>
      <x:c r="D150" s="180" t="str"/>
      <x:c r="E150" s="180" t="str">
        <x:v>West Vantage / Contract Manufacturing</x:v>
      </x:c>
      <x:c r="F150" s="180" t="str">
        <x:v>Service offering</x:v>
      </x:c>
      <x:c r="G150" s="180" t="str">
        <x:v>Analytical Testing</x:v>
      </x:c>
      <x:c r="H150" s="180" t="str">
        <x:v>Service</x:v>
      </x:c>
      <x:c r="I150" s="205" t="str"/>
      <x:c r="J150" s="180" t="str"/>
      <x:c r="K150" s="180" t="str"/>
      <x:c r="L150" s="180" t="str"/>
      <x:c r="M150" s="180" t="str"/>
      <x:c r="N150" s="180" t="str"/>
      <x:c r="O150" s="180" t="str"/>
      <x:c r="P150" s="180" t="str"/>
      <x:c r="Q150" s="180" t="str"/>
      <x:c r="R150" s="180" t="str">
        <x:v>Global / availability varies</x:v>
      </x:c>
      <x:c r="S150" s="180" t="str">
        <x:v>Contact West / account dependent</x:v>
      </x:c>
      <x:c r="T150" s="180" t="str">
        <x:v>Active</x:v>
      </x:c>
      <x:c r="U150" s="180" t="str">
        <x:v>High</x:v>
      </x:c>
      <x:c r="V150" s="180" t="str">
        <x:v>Capability verified; customer product identities not publicly enumerable</x:v>
      </x:c>
      <x:c r="W150" s="180" t="str">
        <x:v>West 2025 Form 10-K and contract-manufacturing site</x:v>
      </x:c>
      <x:c r="X150" s="180" t="str">
        <x:v>https://www.westpharma.com/services/contract-manufacturing</x:v>
      </x:c>
      <x:c r="Y150" s="199" t="n">
        <x:v>46224.942662037036</x:v>
      </x:c>
      <x:c r="Z150" s="199" t="n">
        <x:v>46224.942662037036</x:v>
      </x:c>
      <x:c r="AA150" s="180" t="n">
        <x:v>0</x:v>
      </x:c>
      <x:c r="AB150" s="180" t="n">
        <x:v>1</x:v>
      </x:c>
      <x:c r="AC150" s="180" t="str">
        <x:v>Customer-owned products may be confidential. Full item-level coverage requires internal/customer documentation and cannot be obtained from public websites alone. Public-source seed researched through 2026-07-21.</x:v>
      </x:c>
      <x:c r="AD150" s="186" t="str">
        <x:f>IF(OR(T150&lt;&gt;"Active",U150="Low",ISNUMBER(SEARCH("not publicly",V150)),ISNUMBER(SEARCH("review",T150))),"REVIEW","OK")</x:f>
        <x:v>REVIEW</x:v>
      </x:c>
    </x:row>
    <x:row r="151">
      <x:c r="A151" s="185" t="str">
        <x:v>fp:e0ba36dcc3bfeec12148</x:v>
      </x:c>
      <x:c r="B151" s="180" t="str">
        <x:v>West Contract Manufacturing, LLC / Tech Group entities</x:v>
      </x:c>
      <x:c r="C151" s="180" t="str">
        <x:v>100%-owned subsidiaries</x:v>
      </x:c>
      <x:c r="D151" s="180" t="str"/>
      <x:c r="E151" s="180" t="str">
        <x:v>West Vantage / Contract Manufacturing</x:v>
      </x:c>
      <x:c r="F151" s="180" t="str">
        <x:v>Service offering</x:v>
      </x:c>
      <x:c r="G151" s="180" t="str">
        <x:v>Design and Development Engineering</x:v>
      </x:c>
      <x:c r="H151" s="180" t="str">
        <x:v>Service</x:v>
      </x:c>
      <x:c r="I151" s="205" t="str"/>
      <x:c r="J151" s="180" t="str"/>
      <x:c r="K151" s="180" t="str"/>
      <x:c r="L151" s="180" t="str"/>
      <x:c r="M151" s="180" t="str"/>
      <x:c r="N151" s="180" t="str"/>
      <x:c r="O151" s="180" t="str"/>
      <x:c r="P151" s="180" t="str"/>
      <x:c r="Q151" s="180" t="str"/>
      <x:c r="R151" s="180" t="str">
        <x:v>Global / availability varies</x:v>
      </x:c>
      <x:c r="S151" s="180" t="str">
        <x:v>Contact West / account dependent</x:v>
      </x:c>
      <x:c r="T151" s="180" t="str">
        <x:v>Active</x:v>
      </x:c>
      <x:c r="U151" s="180" t="str">
        <x:v>High</x:v>
      </x:c>
      <x:c r="V151" s="180" t="str">
        <x:v>Capability verified; customer product identities not publicly enumerable</x:v>
      </x:c>
      <x:c r="W151" s="180" t="str">
        <x:v>West 2025 Form 10-K and contract-manufacturing site</x:v>
      </x:c>
      <x:c r="X151" s="180" t="str">
        <x:v>https://www.westpharma.com/services/contract-manufacturing</x:v>
      </x:c>
      <x:c r="Y151" s="199" t="n">
        <x:v>46224.942662037036</x:v>
      </x:c>
      <x:c r="Z151" s="199" t="n">
        <x:v>46224.942662037036</x:v>
      </x:c>
      <x:c r="AA151" s="180" t="n">
        <x:v>0</x:v>
      </x:c>
      <x:c r="AB151" s="180" t="n">
        <x:v>1</x:v>
      </x:c>
      <x:c r="AC151" s="180" t="str">
        <x:v>Customer-owned products may be confidential. Full item-level coverage requires internal/customer documentation and cannot be obtained from public websites alone. Public-source seed researched through 2026-07-21.</x:v>
      </x:c>
      <x:c r="AD151" s="186" t="str">
        <x:f>IF(OR(T151&lt;&gt;"Active",U151="Low",ISNUMBER(SEARCH("not publicly",V151)),ISNUMBER(SEARCH("review",T151))),"REVIEW","OK")</x:f>
        <x:v>REVIEW</x:v>
      </x:c>
    </x:row>
    <x:row r="152">
      <x:c r="A152" s="185" t="str">
        <x:v>fp:83b5d98af8d43f77e32b</x:v>
      </x:c>
      <x:c r="B152" s="180" t="str">
        <x:v>West Contract Manufacturing, LLC / Tech Group entities</x:v>
      </x:c>
      <x:c r="C152" s="180" t="str">
        <x:v>100%-owned subsidiaries</x:v>
      </x:c>
      <x:c r="D152" s="180" t="str"/>
      <x:c r="E152" s="180" t="str">
        <x:v>West Vantage / Contract Manufacturing</x:v>
      </x:c>
      <x:c r="F152" s="180" t="str">
        <x:v>Service offering</x:v>
      </x:c>
      <x:c r="G152" s="180" t="str">
        <x:v>Drug Handling, Assembly and Packaging Services</x:v>
      </x:c>
      <x:c r="H152" s="180" t="str">
        <x:v>Service</x:v>
      </x:c>
      <x:c r="I152" s="205" t="str"/>
      <x:c r="J152" s="180" t="str"/>
      <x:c r="K152" s="180" t="str"/>
      <x:c r="L152" s="180" t="str"/>
      <x:c r="M152" s="180" t="str"/>
      <x:c r="N152" s="180" t="str"/>
      <x:c r="O152" s="180" t="str"/>
      <x:c r="P152" s="180" t="str"/>
      <x:c r="Q152" s="180" t="str"/>
      <x:c r="R152" s="180" t="str">
        <x:v>Global / availability varies</x:v>
      </x:c>
      <x:c r="S152" s="180" t="str">
        <x:v>Contact West / account dependent</x:v>
      </x:c>
      <x:c r="T152" s="180" t="str">
        <x:v>Active</x:v>
      </x:c>
      <x:c r="U152" s="180" t="str">
        <x:v>High</x:v>
      </x:c>
      <x:c r="V152" s="180" t="str">
        <x:v>Capability verified; customer product identities not publicly enumerable</x:v>
      </x:c>
      <x:c r="W152" s="180" t="str">
        <x:v>West 2025 Form 10-K and contract-manufacturing site</x:v>
      </x:c>
      <x:c r="X152" s="180" t="str">
        <x:v>https://www.westpharma.com/services/contract-manufacturing</x:v>
      </x:c>
      <x:c r="Y152" s="199" t="n">
        <x:v>46224.942662037036</x:v>
      </x:c>
      <x:c r="Z152" s="199" t="n">
        <x:v>46224.942662037036</x:v>
      </x:c>
      <x:c r="AA152" s="180" t="n">
        <x:v>0</x:v>
      </x:c>
      <x:c r="AB152" s="180" t="n">
        <x:v>1</x:v>
      </x:c>
      <x:c r="AC152" s="180" t="str">
        <x:v>Customer-owned products may be confidential. Full item-level coverage requires internal/customer documentation and cannot be obtained from public websites alone. Public-source seed researched through 2026-07-21.</x:v>
      </x:c>
      <x:c r="AD152" s="186" t="str">
        <x:f>IF(OR(T152&lt;&gt;"Active",U152="Low",ISNUMBER(SEARCH("not publicly",V152)),ISNUMBER(SEARCH("review",T152))),"REVIEW","OK")</x:f>
        <x:v>REVIEW</x:v>
      </x:c>
    </x:row>
    <x:row r="153">
      <x:c r="A153" s="185" t="str">
        <x:v>fp:c3fa8e861fd14244b22a</x:v>
      </x:c>
      <x:c r="B153" s="180" t="str">
        <x:v>West Contract Manufacturing, LLC / Tech Group entities</x:v>
      </x:c>
      <x:c r="C153" s="180" t="str">
        <x:v>100%-owned subsidiaries</x:v>
      </x:c>
      <x:c r="D153" s="180" t="str"/>
      <x:c r="E153" s="180" t="str">
        <x:v>West Vantage / Contract Manufacturing</x:v>
      </x:c>
      <x:c r="F153" s="180" t="str">
        <x:v>Service offering</x:v>
      </x:c>
      <x:c r="G153" s="180" t="str">
        <x:v>Mold Design and Construction</x:v>
      </x:c>
      <x:c r="H153" s="180" t="str">
        <x:v>Service</x:v>
      </x:c>
      <x:c r="I153" s="205" t="str"/>
      <x:c r="J153" s="180" t="str"/>
      <x:c r="K153" s="180" t="str"/>
      <x:c r="L153" s="180" t="str"/>
      <x:c r="M153" s="180" t="str"/>
      <x:c r="N153" s="180" t="str"/>
      <x:c r="O153" s="180" t="str"/>
      <x:c r="P153" s="180" t="str"/>
      <x:c r="Q153" s="180" t="str"/>
      <x:c r="R153" s="180" t="str">
        <x:v>Global / availability varies</x:v>
      </x:c>
      <x:c r="S153" s="180" t="str">
        <x:v>Contact West / account dependent</x:v>
      </x:c>
      <x:c r="T153" s="180" t="str">
        <x:v>Active</x:v>
      </x:c>
      <x:c r="U153" s="180" t="str">
        <x:v>High</x:v>
      </x:c>
      <x:c r="V153" s="180" t="str">
        <x:v>Capability verified; customer product identities not publicly enumerable</x:v>
      </x:c>
      <x:c r="W153" s="180" t="str">
        <x:v>West 2025 Form 10-K and contract-manufacturing site</x:v>
      </x:c>
      <x:c r="X153" s="180" t="str">
        <x:v>https://www.westpharma.com/services/contract-manufacturing</x:v>
      </x:c>
      <x:c r="Y153" s="199" t="n">
        <x:v>46224.942662037036</x:v>
      </x:c>
      <x:c r="Z153" s="199" t="n">
        <x:v>46224.942662037036</x:v>
      </x:c>
      <x:c r="AA153" s="180" t="n">
        <x:v>0</x:v>
      </x:c>
      <x:c r="AB153" s="180" t="n">
        <x:v>1</x:v>
      </x:c>
      <x:c r="AC153" s="180" t="str">
        <x:v>Customer-owned products may be confidential. Full item-level coverage requires internal/customer documentation and cannot be obtained from public websites alone. Public-source seed researched through 2026-07-21.</x:v>
      </x:c>
      <x:c r="AD153" s="186" t="str">
        <x:f>IF(OR(T153&lt;&gt;"Active",U153="Low",ISNUMBER(SEARCH("not publicly",V153)),ISNUMBER(SEARCH("review",T153))),"REVIEW","OK")</x:f>
        <x:v>REVIEW</x:v>
      </x:c>
    </x:row>
    <x:row r="154">
      <x:c r="A154" s="185" t="str">
        <x:v>fp:37b87f041eea196a69f0</x:v>
      </x:c>
      <x:c r="B154" s="180" t="str">
        <x:v>West Contract Manufacturing, LLC / Tech Group entities</x:v>
      </x:c>
      <x:c r="C154" s="180" t="str">
        <x:v>100%-owned subsidiaries</x:v>
      </x:c>
      <x:c r="D154" s="180" t="str"/>
      <x:c r="E154" s="180" t="str">
        <x:v>West Vantage / Contract Manufacturing</x:v>
      </x:c>
      <x:c r="F154" s="180" t="str">
        <x:v>Service offering</x:v>
      </x:c>
      <x:c r="G154" s="180" t="str">
        <x:v>Process Design and Validation</x:v>
      </x:c>
      <x:c r="H154" s="180" t="str">
        <x:v>Service</x:v>
      </x:c>
      <x:c r="I154" s="205" t="str"/>
      <x:c r="J154" s="180" t="str"/>
      <x:c r="K154" s="180" t="str"/>
      <x:c r="L154" s="180" t="str"/>
      <x:c r="M154" s="180" t="str"/>
      <x:c r="N154" s="180" t="str"/>
      <x:c r="O154" s="180" t="str"/>
      <x:c r="P154" s="180" t="str"/>
      <x:c r="Q154" s="180" t="str"/>
      <x:c r="R154" s="180" t="str">
        <x:v>Global / availability varies</x:v>
      </x:c>
      <x:c r="S154" s="180" t="str">
        <x:v>Contact West / account dependent</x:v>
      </x:c>
      <x:c r="T154" s="180" t="str">
        <x:v>Active</x:v>
      </x:c>
      <x:c r="U154" s="180" t="str">
        <x:v>High</x:v>
      </x:c>
      <x:c r="V154" s="180" t="str">
        <x:v>Capability verified; customer product identities not publicly enumerable</x:v>
      </x:c>
      <x:c r="W154" s="180" t="str">
        <x:v>West 2025 Form 10-K and contract-manufacturing site</x:v>
      </x:c>
      <x:c r="X154" s="180" t="str">
        <x:v>https://www.westpharma.com/services/contract-manufacturing</x:v>
      </x:c>
      <x:c r="Y154" s="199" t="n">
        <x:v>46224.942662037036</x:v>
      </x:c>
      <x:c r="Z154" s="199" t="n">
        <x:v>46224.942662037036</x:v>
      </x:c>
      <x:c r="AA154" s="180" t="n">
        <x:v>0</x:v>
      </x:c>
      <x:c r="AB154" s="180" t="n">
        <x:v>1</x:v>
      </x:c>
      <x:c r="AC154" s="180" t="str">
        <x:v>Customer-owned products may be confidential. Full item-level coverage requires internal/customer documentation and cannot be obtained from public websites alone. Public-source seed researched through 2026-07-21.</x:v>
      </x:c>
      <x:c r="AD154" s="186" t="str">
        <x:f>IF(OR(T154&lt;&gt;"Active",U154="Low",ISNUMBER(SEARCH("not publicly",V154)),ISNUMBER(SEARCH("review",T154))),"REVIEW","OK")</x:f>
        <x:v>REVIEW</x:v>
      </x:c>
    </x:row>
    <x:row r="155">
      <x:c r="A155" s="187" t="str">
        <x:v>fp:719bcb98a6018345b13c</x:v>
      </x:c>
      <x:c r="B155" s="188" t="str">
        <x:v>West Contract Manufacturing, LLC / Tech Group entities</x:v>
      </x:c>
      <x:c r="C155" s="188" t="str">
        <x:v>100%-owned subsidiaries</x:v>
      </x:c>
      <x:c r="D155" s="188" t="str"/>
      <x:c r="E155" s="188" t="str">
        <x:v>West Vantage / Contract Manufacturing</x:v>
      </x:c>
      <x:c r="F155" s="188" t="str">
        <x:v>Service offering</x:v>
      </x:c>
      <x:c r="G155" s="188" t="str">
        <x:v>Regulatory Services</x:v>
      </x:c>
      <x:c r="H155" s="188" t="str">
        <x:v>Service</x:v>
      </x:c>
      <x:c r="I155" s="206" t="str"/>
      <x:c r="J155" s="188" t="str"/>
      <x:c r="K155" s="188" t="str"/>
      <x:c r="L155" s="188" t="str"/>
      <x:c r="M155" s="188" t="str"/>
      <x:c r="N155" s="188" t="str"/>
      <x:c r="O155" s="188" t="str"/>
      <x:c r="P155" s="188" t="str"/>
      <x:c r="Q155" s="188" t="str"/>
      <x:c r="R155" s="188" t="str">
        <x:v>Global / availability varies</x:v>
      </x:c>
      <x:c r="S155" s="188" t="str">
        <x:v>Contact West / account dependent</x:v>
      </x:c>
      <x:c r="T155" s="188" t="str">
        <x:v>Active</x:v>
      </x:c>
      <x:c r="U155" s="188" t="str">
        <x:v>High</x:v>
      </x:c>
      <x:c r="V155" s="188" t="str">
        <x:v>Capability verified; customer product identities not publicly enumerable</x:v>
      </x:c>
      <x:c r="W155" s="188" t="str">
        <x:v>West 2025 Form 10-K and contract-manufacturing site</x:v>
      </x:c>
      <x:c r="X155" s="188" t="str">
        <x:v>https://www.westpharma.com/services/contract-manufacturing</x:v>
      </x:c>
      <x:c r="Y155" s="200" t="n">
        <x:v>46224.942662037036</x:v>
      </x:c>
      <x:c r="Z155" s="200" t="n">
        <x:v>46224.942662037036</x:v>
      </x:c>
      <x:c r="AA155" s="188" t="n">
        <x:v>0</x:v>
      </x:c>
      <x:c r="AB155" s="188" t="n">
        <x:v>1</x:v>
      </x:c>
      <x:c r="AC155" s="188" t="str">
        <x:v>Customer-owned products may be confidential. Full item-level coverage requires internal/customer documentation and cannot be obtained from public websites alone. Public-source seed researched through 2026-07-21.</x:v>
      </x:c>
      <x:c r="AD155" s="189" t="str">
        <x:f>IF(OR(T155&lt;&gt;"Active",U155="Low",ISNUMBER(SEARCH("not publicly",V155)),ISNUMBER(SEARCH("review",T155))),"REVIEW","OK")</x:f>
        <x:v>REVIEW</x:v>
      </x:c>
    </x:row>
  </x:sheetData>
  <x:mergeCells>
    <x:mergeCell ref="A1:AD1"/>
    <x:mergeCell ref="A2:AD2"/>
  </x:mergeCells>
  <x:conditionalFormatting sqref="AD5:AD155">
    <x:cfRule type="expression" dxfId="0" priority="1">
      <x:formula>AD5="REVIEW"</x:formula>
    </x:cfRule>
  </x:conditionalFormatting>
  <x:conditionalFormatting sqref="T5:T155">
    <x:cfRule type="expression" dxfId="1" priority="2">
      <x:formula>T5&lt;&gt;"Active"</x:formula>
    </x:cfRule>
  </x:conditionalFormatting>
  <x:dataValidations count="2">
    <x:dataValidation type="list" sqref="T5:T155">
      <x:formula1>"Active,Removed,Discontinued / replaced,Divested / rights transferred,Needs current-status review"</x:formula1>
    </x:dataValidation>
    <x:dataValidation type="list" sqref="U5:U155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74546b0543477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5" hidden="0" customWidth="1"/>
    <x:col min="4" max="4" width="23" hidden="0" customWidth="1"/>
    <x:col min="5" max="5" width="46" hidden="0" customWidth="1"/>
    <x:col min="6" max="6" width="20" hidden="0" customWidth="1"/>
    <x:col min="7" max="7" width="16" hidden="0" customWidth="1"/>
    <x:col min="8" max="8" width="15" hidden="0" customWidth="1"/>
    <x:col min="9" max="9" width="26" hidden="0" customWidth="1"/>
    <x:col min="10" max="10" width="22" hidden="0" customWidth="1"/>
    <x:col min="11" max="11" width="22" hidden="0" customWidth="1"/>
    <x:col min="12" max="12" width="20" hidden="0" customWidth="1"/>
    <x:col min="13" max="13" width="24" hidden="0" customWidth="1"/>
    <x:col min="14" max="14" width="20" hidden="0" customWidth="1"/>
    <x:col min="15" max="15" width="22" hidden="0" customWidth="1"/>
    <x:col min="16" max="16" width="34" hidden="0" customWidth="1"/>
    <x:col min="17" max="17" width="23" hidden="0" customWidth="1"/>
    <x:col min="18" max="18" width="12" hidden="0" customWidth="1"/>
    <x:col min="19" max="19" width="34" hidden="0" customWidth="1"/>
    <x:col min="20" max="20" width="30" hidden="0" customWidth="1"/>
    <x:col min="21" max="21" width="48" hidden="0" customWidth="1"/>
    <x:col min="22" max="22" width="22" hidden="0" customWidth="1"/>
    <x:col min="23" max="23" width="48" hidden="0" customWidth="1"/>
  </x:cols>
  <x:sheetData>
    <x:row r="1" ht="30" customHeight="1">
      <x:c r="A1" s="222" t="str">
        <x:v>Exact Public SKU / Item-Level Observations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</x:row>
    <x:row r="2" ht="38" customHeight="1">
      <x:c r="A2" s="13" t="str">
        <x:v>Only rows with a public West item/material number and Product Level = SKU. These do not constitute the complete West material master.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</x:row>
    <x:row r="4">
      <x:c r="A4" s="121" t="str">
        <x:v>Entity</x:v>
      </x:c>
      <x:c r="B4" s="121" t="str">
        <x:v>Brand</x:v>
      </x:c>
      <x:c r="C4" s="121" t="str">
        <x:v>Category</x:v>
      </x:c>
      <x:c r="D4" s="121" t="str">
        <x:v>Subcategory</x:v>
      </x:c>
      <x:c r="E4" s="121" t="str">
        <x:v>Product Name</x:v>
      </x:c>
      <x:c r="F4" s="121" t="str">
        <x:v>Item / Material Number</x:v>
      </x:c>
      <x:c r="G4" s="121" t="str">
        <x:v>Size</x:v>
      </x:c>
      <x:c r="H4" s="121" t="str">
        <x:v>Closure Size</x:v>
      </x:c>
      <x:c r="I4" s="121" t="str">
        <x:v>Formulation / Material</x:v>
      </x:c>
      <x:c r="J4" s="121" t="str">
        <x:v>Processing</x:v>
      </x:c>
      <x:c r="K4" s="121" t="str">
        <x:v>Coating / Film</x:v>
      </x:c>
      <x:c r="L4" s="121" t="str">
        <x:v>Inspection</x:v>
      </x:c>
      <x:c r="M4" s="121" t="str">
        <x:v>Packaging</x:v>
      </x:c>
      <x:c r="N4" s="121" t="str">
        <x:v>Pack Quantity</x:v>
      </x:c>
      <x:c r="O4" s="121" t="str">
        <x:v>Region</x:v>
      </x:c>
      <x:c r="P4" s="121" t="str">
        <x:v>Availability</x:v>
      </x:c>
      <x:c r="Q4" s="121" t="str">
        <x:v>Current Status</x:v>
      </x:c>
      <x:c r="R4" s="121" t="str">
        <x:v>Confidence</x:v>
      </x:c>
      <x:c r="S4" s="121" t="str">
        <x:v>Coverage Status</x:v>
      </x:c>
      <x:c r="T4" s="121" t="str">
        <x:v>Source Name</x:v>
      </x:c>
      <x:c r="U4" s="121" t="str">
        <x:v>Source URL</x:v>
      </x:c>
      <x:c r="V4" s="121" t="str">
        <x:v>First Seen</x:v>
      </x:c>
      <x:c r="W4" s="121" t="str">
        <x:v>Notes</x:v>
      </x:c>
    </x:row>
    <x:row r="5">
      <x:c r="A5" s="182" t="str">
        <x:v>West Pharmaceutical Services, Inc.</x:v>
      </x:c>
      <x:c r="B5" s="183" t="str">
        <x:v>NovaPure</x:v>
      </x:c>
      <x:c r="C5" s="183" t="str">
        <x:v>Cartridge Components</x:v>
      </x:c>
      <x:c r="D5" s="183" t="str">
        <x:v>Cartridge plungers</x:v>
      </x:c>
      <x:c r="E5" s="183" t="str">
        <x:v>3mL NovaPure RTU Cartridge Plungers</x:v>
      </x:c>
      <x:c r="F5" s="204" t="str">
        <x:v>11101452</x:v>
      </x:c>
      <x:c r="G5" s="183" t="str">
        <x:v>3mL</x:v>
      </x:c>
      <x:c r="H5" s="183" t="str"/>
      <x:c r="I5" s="183" t="str">
        <x:v>Elastomer</x:v>
      </x:c>
      <x:c r="J5" s="183" t="str">
        <x:v>RTU</x:v>
      </x:c>
      <x:c r="K5" s="183" t="str"/>
      <x:c r="L5" s="183" t="str"/>
      <x:c r="M5" s="183" t="str"/>
      <x:c r="N5" s="183" t="str"/>
      <x:c r="O5" s="183" t="str">
        <x:v>Global / availability varies</x:v>
      </x:c>
      <x:c r="P5" s="183" t="str">
        <x:v>Observed in public West online-store indexing; account availability may differ</x:v>
      </x:c>
      <x:c r="Q5" s="183" t="str">
        <x:v>Active</x:v>
      </x:c>
      <x:c r="R5" s="183" t="str">
        <x:v>High</x:v>
      </x:c>
      <x:c r="S5" s="183" t="str">
        <x:v>Public store SKU verified</x:v>
      </x:c>
      <x:c r="T5" s="183" t="str">
        <x:v>West Online Store indexed product page</x:v>
      </x:c>
      <x:c r="U5" s="183" t="str">
        <x:v>https://www.westpharma.com/online-store/all-products</x:v>
      </x:c>
      <x:c r="V5" s="183" t="n">
        <x:v>46224.942662037036</x:v>
      </x:c>
      <x:c r="W5" s="184" t="str">
        <x:v>Exact product-detail URL should be refreshed by the Playwright crawler; duplicate item-number rows are deduplicated by canonical SKU key. Public-source seed researched through 2026-07-21.</x:v>
      </x:c>
    </x:row>
    <x:row r="6">
      <x:c r="A6" s="185" t="str">
        <x:v>West Pharmaceutical Services, Inc.</x:v>
      </x:c>
      <x:c r="B6" s="180" t="str">
        <x:v>NovaPure</x:v>
      </x:c>
      <x:c r="C6" s="180" t="str">
        <x:v>Prefillable Syringes</x:v>
      </x:c>
      <x:c r="D6" s="180" t="str">
        <x:v>Syringe plungers</x:v>
      </x:c>
      <x:c r="E6" s="180" t="str">
        <x:v>1-3mL NovaPure RTU Bromobutyl 4023/50 Plungers</x:v>
      </x:c>
      <x:c r="F6" s="205" t="str">
        <x:v>11101409</x:v>
      </x:c>
      <x:c r="G6" s="180" t="str">
        <x:v>1-3mL</x:v>
      </x:c>
      <x:c r="H6" s="180" t="str"/>
      <x:c r="I6" s="180" t="str">
        <x:v>Bromobutyl 4023/50</x:v>
      </x:c>
      <x:c r="J6" s="180" t="str">
        <x:v>RTU</x:v>
      </x:c>
      <x:c r="K6" s="180" t="str"/>
      <x:c r="L6" s="180" t="str"/>
      <x:c r="M6" s="180" t="str"/>
      <x:c r="N6" s="180" t="str"/>
      <x:c r="O6" s="180" t="str">
        <x:v>Global / availability varies</x:v>
      </x:c>
      <x:c r="P6" s="180" t="str">
        <x:v>Observed in public West online-store indexing; account availability may differ</x:v>
      </x:c>
      <x:c r="Q6" s="180" t="str">
        <x:v>Active</x:v>
      </x:c>
      <x:c r="R6" s="180" t="str">
        <x:v>High</x:v>
      </x:c>
      <x:c r="S6" s="180" t="str">
        <x:v>Public store SKU verified</x:v>
      </x:c>
      <x:c r="T6" s="180" t="str">
        <x:v>West Online Store indexed product page</x:v>
      </x:c>
      <x:c r="U6" s="180" t="str">
        <x:v>https://www.westpharma.com/online-store/all-products</x:v>
      </x:c>
      <x:c r="V6" s="180" t="n">
        <x:v>46224.942662037036</x:v>
      </x:c>
      <x:c r="W6" s="186" t="str">
        <x:v>Exact product-detail URL should be refreshed by the Playwright crawler; duplicate item-number rows are deduplicated by canonical SKU key. Public-source seed researched through 2026-07-21.</x:v>
      </x:c>
    </x:row>
    <x:row r="7">
      <x:c r="A7" s="185" t="str">
        <x:v>West Pharmaceutical Services, Inc.</x:v>
      </x:c>
      <x:c r="B7" s="180" t="str">
        <x:v>NovaPure</x:v>
      </x:c>
      <x:c r="C7" s="180" t="str">
        <x:v>Prefillable Syringes</x:v>
      </x:c>
      <x:c r="D7" s="180" t="str">
        <x:v>Syringe plungers</x:v>
      </x:c>
      <x:c r="E7" s="180" t="str">
        <x:v>1-3mL NovaPure RTU Bromobutyl 4023/50 Syringe Plungers</x:v>
      </x:c>
      <x:c r="F7" s="205" t="str">
        <x:v>100010460</x:v>
      </x:c>
      <x:c r="G7" s="180" t="str">
        <x:v>1-3mL</x:v>
      </x:c>
      <x:c r="H7" s="180" t="str"/>
      <x:c r="I7" s="180" t="str">
        <x:v>Bromobutyl 4023/50</x:v>
      </x:c>
      <x:c r="J7" s="180" t="str">
        <x:v>RTU</x:v>
      </x:c>
      <x:c r="K7" s="180" t="str"/>
      <x:c r="L7" s="180" t="str"/>
      <x:c r="M7" s="180" t="str"/>
      <x:c r="N7" s="180" t="str"/>
      <x:c r="O7" s="180" t="str">
        <x:v>Global / availability varies</x:v>
      </x:c>
      <x:c r="P7" s="180" t="str">
        <x:v>Observed in public West online-store indexing; account availability may differ</x:v>
      </x:c>
      <x:c r="Q7" s="180" t="str">
        <x:v>Active</x:v>
      </x:c>
      <x:c r="R7" s="180" t="str">
        <x:v>High</x:v>
      </x:c>
      <x:c r="S7" s="180" t="str">
        <x:v>Public store SKU verified</x:v>
      </x:c>
      <x:c r="T7" s="180" t="str">
        <x:v>West Online Store indexed product page</x:v>
      </x:c>
      <x:c r="U7" s="180" t="str">
        <x:v>https://www.westpharma.com/online-store/all-products</x:v>
      </x:c>
      <x:c r="V7" s="180" t="n">
        <x:v>46224.942662037036</x:v>
      </x:c>
      <x:c r="W7" s="186" t="str">
        <x:v>Exact product-detail URL should be refreshed by the Playwright crawler; duplicate item-number rows are deduplicated by canonical SKU key. Public-source seed researched through 2026-07-21.</x:v>
      </x:c>
    </x:row>
    <x:row r="8">
      <x:c r="A8" s="185" t="str">
        <x:v>West Pharmaceutical Services, Inc.</x:v>
      </x:c>
      <x:c r="B8" s="180" t="str">
        <x:v>NovaPure</x:v>
      </x:c>
      <x:c r="C8" s="180" t="str">
        <x:v>Prefillable Syringes</x:v>
      </x:c>
      <x:c r="D8" s="180" t="str">
        <x:v>Syringe plungers</x:v>
      </x:c>
      <x:c r="E8" s="180" t="str">
        <x:v>1-3mL NovaPure RTU Bromobutyl Syringe Plungers</x:v>
      </x:c>
      <x:c r="F8" s="205" t="str">
        <x:v>100015056</x:v>
      </x:c>
      <x:c r="G8" s="180" t="str">
        <x:v>1-3mL</x:v>
      </x:c>
      <x:c r="H8" s="180" t="str"/>
      <x:c r="I8" s="180" t="str">
        <x:v>Bromobutyl</x:v>
      </x:c>
      <x:c r="J8" s="180" t="str">
        <x:v>RTU</x:v>
      </x:c>
      <x:c r="K8" s="180" t="str"/>
      <x:c r="L8" s="180" t="str"/>
      <x:c r="M8" s="180" t="str"/>
      <x:c r="N8" s="180" t="str"/>
      <x:c r="O8" s="180" t="str">
        <x:v>Global / availability varies</x:v>
      </x:c>
      <x:c r="P8" s="180" t="str">
        <x:v>Observed in public West online-store indexing; account availability may differ</x:v>
      </x:c>
      <x:c r="Q8" s="180" t="str">
        <x:v>Active</x:v>
      </x:c>
      <x:c r="R8" s="180" t="str">
        <x:v>High</x:v>
      </x:c>
      <x:c r="S8" s="180" t="str">
        <x:v>Public store SKU verified</x:v>
      </x:c>
      <x:c r="T8" s="180" t="str">
        <x:v>West Online Store indexed product page</x:v>
      </x:c>
      <x:c r="U8" s="180" t="str">
        <x:v>https://www.westpharma.com/online-store/all-products</x:v>
      </x:c>
      <x:c r="V8" s="180" t="n">
        <x:v>46224.942662037036</x:v>
      </x:c>
      <x:c r="W8" s="186" t="str">
        <x:v>Exact product-detail URL should be refreshed by the Playwright crawler; duplicate item-number rows are deduplicated by canonical SKU key. Public-source seed researched through 2026-07-21.</x:v>
      </x:c>
    </x:row>
    <x:row r="9">
      <x:c r="A9" s="185" t="str">
        <x:v>West Pharmaceutical Services, Inc.</x:v>
      </x:c>
      <x:c r="B9" s="180" t="str">
        <x:v>FluroTec</x:v>
      </x:c>
      <x:c r="C9" s="180" t="str">
        <x:v>Prefillable Syringes</x:v>
      </x:c>
      <x:c r="D9" s="180" t="str">
        <x:v>Syringe plungers</x:v>
      </x:c>
      <x:c r="E9" s="180" t="str">
        <x:v>1mL Long FluroTec Film-Laminated RTU Bromobutyl 4023/50 Plungers</x:v>
      </x:c>
      <x:c r="F9" s="205" t="str">
        <x:v>10149806</x:v>
      </x:c>
      <x:c r="G9" s="180" t="str">
        <x:v>1mL Long</x:v>
      </x:c>
      <x:c r="H9" s="180" t="str"/>
      <x:c r="I9" s="180" t="str">
        <x:v>Bromobutyl 4023/50</x:v>
      </x:c>
      <x:c r="J9" s="180" t="str">
        <x:v>RTU</x:v>
      </x:c>
      <x:c r="K9" s="180" t="str"/>
      <x:c r="L9" s="180" t="str"/>
      <x:c r="M9" s="180" t="str"/>
      <x:c r="N9" s="180" t="str"/>
      <x:c r="O9" s="180" t="str">
        <x:v>Global / availability varies</x:v>
      </x:c>
      <x:c r="P9" s="180" t="str">
        <x:v>Observed in public West online-store indexing; account availability may differ</x:v>
      </x:c>
      <x:c r="Q9" s="180" t="str">
        <x:v>Active</x:v>
      </x:c>
      <x:c r="R9" s="180" t="str">
        <x:v>High</x:v>
      </x:c>
      <x:c r="S9" s="180" t="str">
        <x:v>Public store SKU verified</x:v>
      </x:c>
      <x:c r="T9" s="180" t="str">
        <x:v>West Online Store indexed product page</x:v>
      </x:c>
      <x:c r="U9" s="180" t="str">
        <x:v>https://www.westpharma.com/online-store/all-products</x:v>
      </x:c>
      <x:c r="V9" s="180" t="n">
        <x:v>46224.942662037036</x:v>
      </x:c>
      <x:c r="W9" s="186" t="str">
        <x:v>Exact product-detail URL should be refreshed by the Playwright crawler; duplicate item-number rows are deduplicated by canonical SKU key. Public-source seed researched through 2026-07-21.</x:v>
      </x:c>
    </x:row>
    <x:row r="10">
      <x:c r="A10" s="185" t="str">
        <x:v>West Pharmaceutical Services, Inc.</x:v>
      </x:c>
      <x:c r="B10" s="180" t="str">
        <x:v>NovaPure</x:v>
      </x:c>
      <x:c r="C10" s="180" t="str">
        <x:v>Prefillable Syringes</x:v>
      </x:c>
      <x:c r="D10" s="180" t="str">
        <x:v>Syringe plungers</x:v>
      </x:c>
      <x:c r="E10" s="180" t="str">
        <x:v>1mL Long NovaPure RTU Bromobutyl Plungers</x:v>
      </x:c>
      <x:c r="F10" s="205" t="str">
        <x:v>100010424</x:v>
      </x:c>
      <x:c r="G10" s="180" t="str">
        <x:v>1mL Long</x:v>
      </x:c>
      <x:c r="H10" s="180" t="str"/>
      <x:c r="I10" s="180" t="str">
        <x:v>Bromobutyl</x:v>
      </x:c>
      <x:c r="J10" s="180" t="str">
        <x:v>RTU</x:v>
      </x:c>
      <x:c r="K10" s="180" t="str"/>
      <x:c r="L10" s="180" t="str"/>
      <x:c r="M10" s="180" t="str"/>
      <x:c r="N10" s="180" t="str"/>
      <x:c r="O10" s="180" t="str">
        <x:v>Global / availability varies</x:v>
      </x:c>
      <x:c r="P10" s="180" t="str">
        <x:v>Observed in public West online-store indexing; account availability may differ</x:v>
      </x:c>
      <x:c r="Q10" s="180" t="str">
        <x:v>Active</x:v>
      </x:c>
      <x:c r="R10" s="180" t="str">
        <x:v>High</x:v>
      </x:c>
      <x:c r="S10" s="180" t="str">
        <x:v>Public store SKU verified</x:v>
      </x:c>
      <x:c r="T10" s="180" t="str">
        <x:v>West Online Store indexed product page</x:v>
      </x:c>
      <x:c r="U10" s="180" t="str">
        <x:v>https://www.westpharma.com/online-store/all-products</x:v>
      </x:c>
      <x:c r="V10" s="180" t="n">
        <x:v>46224.942662037036</x:v>
      </x:c>
      <x:c r="W10" s="186" t="str">
        <x:v>Exact product-detail URL should be refreshed by the Playwright crawler; duplicate item-number rows are deduplicated by canonical SKU key. Public-source seed researched through 2026-07-21.</x:v>
      </x:c>
    </x:row>
    <x:row r="11">
      <x:c r="A11" s="185" t="str">
        <x:v>West Pharmaceutical Services, Inc.</x:v>
      </x:c>
      <x:c r="B11" s="180" t="str">
        <x:v>NovaPure</x:v>
      </x:c>
      <x:c r="C11" s="180" t="str">
        <x:v>Prefillable Syringes</x:v>
      </x:c>
      <x:c r="D11" s="180" t="str">
        <x:v>Syringe plungers</x:v>
      </x:c>
      <x:c r="E11" s="180" t="str">
        <x:v>1mL Long NovaPure RU Bromobutyl Syringe Plungers</x:v>
      </x:c>
      <x:c r="F11" s="205" t="str">
        <x:v>100013519</x:v>
      </x:c>
      <x:c r="G11" s="180" t="str">
        <x:v>1mL Long</x:v>
      </x:c>
      <x:c r="H11" s="180" t="str"/>
      <x:c r="I11" s="180" t="str">
        <x:v>Bromobutyl</x:v>
      </x:c>
      <x:c r="J11" s="180" t="str">
        <x:v>RU</x:v>
      </x:c>
      <x:c r="K11" s="180" t="str"/>
      <x:c r="L11" s="180" t="str"/>
      <x:c r="M11" s="180" t="str"/>
      <x:c r="N11" s="180" t="str"/>
      <x:c r="O11" s="180" t="str">
        <x:v>Global / availability varies</x:v>
      </x:c>
      <x:c r="P11" s="180" t="str">
        <x:v>Observed in public West online-store indexing; account availability may differ</x:v>
      </x:c>
      <x:c r="Q11" s="180" t="str">
        <x:v>Active</x:v>
      </x:c>
      <x:c r="R11" s="180" t="str">
        <x:v>High</x:v>
      </x:c>
      <x:c r="S11" s="180" t="str">
        <x:v>Public store SKU verified</x:v>
      </x:c>
      <x:c r="T11" s="180" t="str">
        <x:v>West Online Store indexed product page</x:v>
      </x:c>
      <x:c r="U11" s="180" t="str">
        <x:v>https://www.westpharma.com/online-store/all-products</x:v>
      </x:c>
      <x:c r="V11" s="180" t="n">
        <x:v>46224.942662037036</x:v>
      </x:c>
      <x:c r="W11" s="186" t="str">
        <x:v>Exact product-detail URL should be refreshed by the Playwright crawler; duplicate item-number rows are deduplicated by canonical SKU key. Public-source seed researched through 2026-07-21.</x:v>
      </x:c>
    </x:row>
    <x:row r="12">
      <x:c r="A12" s="185" t="str">
        <x:v>West Pharmaceutical Services, Inc.</x:v>
      </x:c>
      <x:c r="B12" s="180" t="str">
        <x:v>NovaPure</x:v>
      </x:c>
      <x:c r="C12" s="180" t="str">
        <x:v>Prefillable Syringes</x:v>
      </x:c>
      <x:c r="D12" s="180" t="str">
        <x:v>Syringe plungers</x:v>
      </x:c>
      <x:c r="E12" s="180" t="str">
        <x:v>1mL Long NovaPure RU Plungers Small Pack</x:v>
      </x:c>
      <x:c r="F12" s="205" t="str">
        <x:v>100015062</x:v>
      </x:c>
      <x:c r="G12" s="180" t="str">
        <x:v>1mL Long</x:v>
      </x:c>
      <x:c r="H12" s="180" t="str"/>
      <x:c r="I12" s="180" t="str">
        <x:v>Bromobutyl</x:v>
      </x:c>
      <x:c r="J12" s="180" t="str">
        <x:v>RU</x:v>
      </x:c>
      <x:c r="K12" s="180" t="str"/>
      <x:c r="L12" s="180" t="str"/>
      <x:c r="M12" s="180" t="str"/>
      <x:c r="N12" s="180" t="str"/>
      <x:c r="O12" s="180" t="str">
        <x:v>Global / availability varies</x:v>
      </x:c>
      <x:c r="P12" s="180" t="str">
        <x:v>Observed in public West online-store indexing; account availability may differ</x:v>
      </x:c>
      <x:c r="Q12" s="180" t="str">
        <x:v>Active</x:v>
      </x:c>
      <x:c r="R12" s="180" t="str">
        <x:v>High</x:v>
      </x:c>
      <x:c r="S12" s="180" t="str">
        <x:v>Public store SKU verified</x:v>
      </x:c>
      <x:c r="T12" s="180" t="str">
        <x:v>West Online Store indexed product page</x:v>
      </x:c>
      <x:c r="U12" s="180" t="str">
        <x:v>https://www.westpharma.com/online-store/all-products</x:v>
      </x:c>
      <x:c r="V12" s="180" t="n">
        <x:v>46224.942662037036</x:v>
      </x:c>
      <x:c r="W12" s="186" t="str">
        <x:v>Exact product-detail URL should be refreshed by the Playwright crawler; duplicate item-number rows are deduplicated by canonical SKU key. Public-source seed researched through 2026-07-21.</x:v>
      </x:c>
    </x:row>
    <x:row r="13">
      <x:c r="A13" s="185" t="str">
        <x:v>West Pharmaceutical Services, Inc.</x:v>
      </x:c>
      <x:c r="B13" s="180" t="str">
        <x:v>Daikyo D Sigma</x:v>
      </x:c>
      <x:c r="C13" s="180" t="str">
        <x:v>Prefillable Syringes</x:v>
      </x:c>
      <x:c r="D13" s="180" t="str">
        <x:v>Syringe plungers</x:v>
      </x:c>
      <x:c r="E13" s="180" t="str">
        <x:v>Daikyo D Sigma 1mL Long RTU Chlorobutyl D21-7H Syringe Plungers</x:v>
      </x:c>
      <x:c r="F13" s="205" t="str">
        <x:v>19560822</x:v>
      </x:c>
      <x:c r="G13" s="180" t="str">
        <x:v>1mL Long</x:v>
      </x:c>
      <x:c r="H13" s="180" t="str"/>
      <x:c r="I13" s="180" t="str">
        <x:v>Chlorobutyl D21-7H</x:v>
      </x:c>
      <x:c r="J13" s="180" t="str">
        <x:v>RTU</x:v>
      </x:c>
      <x:c r="K13" s="180" t="str"/>
      <x:c r="L13" s="180" t="str"/>
      <x:c r="M13" s="180" t="str"/>
      <x:c r="N13" s="180" t="str"/>
      <x:c r="O13" s="180" t="str">
        <x:v>Global / availability varies</x:v>
      </x:c>
      <x:c r="P13" s="180" t="str">
        <x:v>Observed in public West online-store indexing; account availability may differ</x:v>
      </x:c>
      <x:c r="Q13" s="180" t="str">
        <x:v>Active</x:v>
      </x:c>
      <x:c r="R13" s="180" t="str">
        <x:v>High</x:v>
      </x:c>
      <x:c r="S13" s="180" t="str">
        <x:v>Public store SKU verified</x:v>
      </x:c>
      <x:c r="T13" s="180" t="str">
        <x:v>West Online Store indexed product page</x:v>
      </x:c>
      <x:c r="U13" s="180" t="str">
        <x:v>https://www.westpharma.com/online-store/all-products</x:v>
      </x:c>
      <x:c r="V13" s="180" t="n">
        <x:v>46224.942662037036</x:v>
      </x:c>
      <x:c r="W13" s="186" t="str">
        <x:v>Exact product-detail URL should be refreshed by the Playwright crawler; duplicate item-number rows are deduplicated by canonical SKU key. Public-source seed researched through 2026-07-21.</x:v>
      </x:c>
    </x:row>
    <x:row r="14">
      <x:c r="A14" s="185" t="str">
        <x:v>West Pharmaceutical Services, Inc.</x:v>
      </x:c>
      <x:c r="B14" s="180" t="str">
        <x:v>Flip-Off</x:v>
      </x:c>
      <x:c r="C14" s="180" t="str">
        <x:v>Vial Containment Solutions</x:v>
      </x:c>
      <x:c r="D14" s="180" t="str">
        <x:v>Seals</x:v>
      </x:c>
      <x:c r="E14" s="180" t="str">
        <x:v>13mm Flip-Off CCS Blue Seals 100 Pieces</x:v>
      </x:c>
      <x:c r="F14" s="205" t="str">
        <x:v>100014445</x:v>
      </x:c>
      <x:c r="G14" s="180" t="str">
        <x:v>13mm</x:v>
      </x:c>
      <x:c r="H14" s="180" t="str">
        <x:v>13mm</x:v>
      </x:c>
      <x:c r="I14" s="180" t="str">
        <x:v>Blue button</x:v>
      </x:c>
      <x:c r="J14" s="180" t="str">
        <x:v>CCS</x:v>
      </x:c>
      <x:c r="K14" s="180" t="str"/>
      <x:c r="L14" s="180" t="str"/>
      <x:c r="M14" s="180" t="str"/>
      <x:c r="N14" s="180" t="str"/>
      <x:c r="O14" s="180" t="str">
        <x:v>Global / availability varies</x:v>
      </x:c>
      <x:c r="P14" s="180" t="str">
        <x:v>Observed in public West online-store indexing; account availability may differ</x:v>
      </x:c>
      <x:c r="Q14" s="180" t="str">
        <x:v>Active</x:v>
      </x:c>
      <x:c r="R14" s="180" t="str">
        <x:v>High</x:v>
      </x:c>
      <x:c r="S14" s="180" t="str">
        <x:v>Public store SKU verified</x:v>
      </x:c>
      <x:c r="T14" s="180" t="str">
        <x:v>West Online Store indexed product page</x:v>
      </x:c>
      <x:c r="U14" s="180" t="str">
        <x:v>https://www.westpharma.com/online-store/all-products</x:v>
      </x:c>
      <x:c r="V14" s="180" t="n">
        <x:v>46224.942662037036</x:v>
      </x:c>
      <x:c r="W14" s="186" t="str">
        <x:v>Exact product-detail URL should be refreshed by the Playwright crawler; duplicate item-number rows are deduplicated by canonical SKU key. Public-source seed researched through 2026-07-21.</x:v>
      </x:c>
    </x:row>
    <x:row r="15">
      <x:c r="A15" s="185" t="str">
        <x:v>West Pharmaceutical Services, Inc.</x:v>
      </x:c>
      <x:c r="B15" s="180" t="str">
        <x:v>Flip-Off</x:v>
      </x:c>
      <x:c r="C15" s="180" t="str">
        <x:v>Vial Containment Solutions</x:v>
      </x:c>
      <x:c r="D15" s="180" t="str">
        <x:v>Seals</x:v>
      </x:c>
      <x:c r="E15" s="180" t="str">
        <x:v>13mm Flip-Off CCS White Seals Small Pack</x:v>
      </x:c>
      <x:c r="F15" s="205" t="str">
        <x:v>100014446</x:v>
      </x:c>
      <x:c r="G15" s="180" t="str">
        <x:v>13mm</x:v>
      </x:c>
      <x:c r="H15" s="180" t="str">
        <x:v>13mm</x:v>
      </x:c>
      <x:c r="I15" s="180" t="str">
        <x:v>White button</x:v>
      </x:c>
      <x:c r="J15" s="180" t="str">
        <x:v>CCS</x:v>
      </x:c>
      <x:c r="K15" s="180" t="str"/>
      <x:c r="L15" s="180" t="str"/>
      <x:c r="M15" s="180" t="str"/>
      <x:c r="N15" s="180" t="str"/>
      <x:c r="O15" s="180" t="str">
        <x:v>Global / availability varies</x:v>
      </x:c>
      <x:c r="P15" s="180" t="str">
        <x:v>Observed in public West online-store indexing; account availability may differ</x:v>
      </x:c>
      <x:c r="Q15" s="180" t="str">
        <x:v>Active</x:v>
      </x:c>
      <x:c r="R15" s="180" t="str">
        <x:v>High</x:v>
      </x:c>
      <x:c r="S15" s="180" t="str">
        <x:v>Public store SKU verified</x:v>
      </x:c>
      <x:c r="T15" s="180" t="str">
        <x:v>West Online Store indexed product page</x:v>
      </x:c>
      <x:c r="U15" s="180" t="str">
        <x:v>https://www.westpharma.com/online-store/all-products</x:v>
      </x:c>
      <x:c r="V15" s="180" t="n">
        <x:v>46224.942662037036</x:v>
      </x:c>
      <x:c r="W15" s="186" t="str">
        <x:v>Exact product-detail URL should be refreshed by the Playwright crawler; duplicate item-number rows are deduplicated by canonical SKU key. Public-source seed researched through 2026-07-21.</x:v>
      </x:c>
    </x:row>
    <x:row r="16">
      <x:c r="A16" s="185" t="str">
        <x:v>West Pharmaceutical Services, Inc.</x:v>
      </x:c>
      <x:c r="B16" s="180" t="str">
        <x:v>Flip-Off</x:v>
      </x:c>
      <x:c r="C16" s="180" t="str">
        <x:v>Vial Containment Solutions</x:v>
      </x:c>
      <x:c r="D16" s="180" t="str">
        <x:v>Seals</x:v>
      </x:c>
      <x:c r="E16" s="180" t="str">
        <x:v>13mm Flip-Off Violet Seals</x:v>
      </x:c>
      <x:c r="F16" s="205" t="str">
        <x:v>54130506</x:v>
      </x:c>
      <x:c r="G16" s="180" t="str">
        <x:v>13mm</x:v>
      </x:c>
      <x:c r="H16" s="180" t="str">
        <x:v>13mm</x:v>
      </x:c>
      <x:c r="I16" s="180" t="str">
        <x:v>Violet button</x:v>
      </x:c>
      <x:c r="J16" s="180" t="str"/>
      <x:c r="K16" s="180" t="str"/>
      <x:c r="L16" s="180" t="str"/>
      <x:c r="M16" s="180" t="str"/>
      <x:c r="N16" s="180" t="str"/>
      <x:c r="O16" s="180" t="str">
        <x:v>Global / availability varies</x:v>
      </x:c>
      <x:c r="P16" s="180" t="str">
        <x:v>Observed in public West online-store indexing; account availability may differ</x:v>
      </x:c>
      <x:c r="Q16" s="180" t="str">
        <x:v>Active</x:v>
      </x:c>
      <x:c r="R16" s="180" t="str">
        <x:v>High</x:v>
      </x:c>
      <x:c r="S16" s="180" t="str">
        <x:v>Public store SKU verified</x:v>
      </x:c>
      <x:c r="T16" s="180" t="str">
        <x:v>West Online Store indexed product page</x:v>
      </x:c>
      <x:c r="U16" s="180" t="str">
        <x:v>https://www.westpharma.com/online-store/all-products</x:v>
      </x:c>
      <x:c r="V16" s="180" t="n">
        <x:v>46224.942662037036</x:v>
      </x:c>
      <x:c r="W16" s="186" t="str">
        <x:v>Exact product-detail URL should be refreshed by the Playwright crawler; duplicate item-number rows are deduplicated by canonical SKU key. Public-source seed researched through 2026-07-21.</x:v>
      </x:c>
    </x:row>
    <x:row r="17">
      <x:c r="A17" s="185" t="str">
        <x:v>West Pharmaceutical Services, Inc.</x:v>
      </x:c>
      <x:c r="B17" s="180" t="str">
        <x:v>Flip-Off</x:v>
      </x:c>
      <x:c r="C17" s="180" t="str">
        <x:v>Vial Containment Solutions</x:v>
      </x:c>
      <x:c r="D17" s="180" t="str">
        <x:v>Seals</x:v>
      </x:c>
      <x:c r="E17" s="180" t="str">
        <x:v>13mm Flip-Off White Seals</x:v>
      </x:c>
      <x:c r="F17" s="205" t="str">
        <x:v>54131001</x:v>
      </x:c>
      <x:c r="G17" s="180" t="str">
        <x:v>13mm</x:v>
      </x:c>
      <x:c r="H17" s="180" t="str">
        <x:v>13mm</x:v>
      </x:c>
      <x:c r="I17" s="180" t="str">
        <x:v>White button</x:v>
      </x:c>
      <x:c r="J17" s="180" t="str"/>
      <x:c r="K17" s="180" t="str"/>
      <x:c r="L17" s="180" t="str"/>
      <x:c r="M17" s="180" t="str"/>
      <x:c r="N17" s="180" t="str"/>
      <x:c r="O17" s="180" t="str">
        <x:v>Global / availability varies</x:v>
      </x:c>
      <x:c r="P17" s="180" t="str">
        <x:v>Observed in public West online-store indexing; account availability may differ</x:v>
      </x:c>
      <x:c r="Q17" s="180" t="str">
        <x:v>Active</x:v>
      </x:c>
      <x:c r="R17" s="180" t="str">
        <x:v>High</x:v>
      </x:c>
      <x:c r="S17" s="180" t="str">
        <x:v>Public store SKU verified</x:v>
      </x:c>
      <x:c r="T17" s="180" t="str">
        <x:v>West Online Store indexed product page</x:v>
      </x:c>
      <x:c r="U17" s="180" t="str">
        <x:v>https://www.westpharma.com/online-store/all-products</x:v>
      </x:c>
      <x:c r="V17" s="180" t="n">
        <x:v>46224.942662037036</x:v>
      </x:c>
      <x:c r="W17" s="186" t="str">
        <x:v>Exact product-detail URL should be refreshed by the Playwright crawler; duplicate item-number rows are deduplicated by canonical SKU key. Public-source seed researched through 2026-07-21.</x:v>
      </x:c>
    </x:row>
    <x:row r="18">
      <x:c r="A18" s="185" t="str">
        <x:v>West Pharmaceutical Services, Inc.</x:v>
      </x:c>
      <x:c r="B18" s="180" t="str">
        <x:v>Flip-Off</x:v>
      </x:c>
      <x:c r="C18" s="180" t="str">
        <x:v>Vial Containment Solutions</x:v>
      </x:c>
      <x:c r="D18" s="180" t="str">
        <x:v>Seals</x:v>
      </x:c>
      <x:c r="E18" s="180" t="str">
        <x:v>20mm Flip-Off Gray Seals</x:v>
      </x:c>
      <x:c r="F18" s="205" t="str">
        <x:v>54202053</x:v>
      </x:c>
      <x:c r="G18" s="180" t="str">
        <x:v>20mm</x:v>
      </x:c>
      <x:c r="H18" s="180" t="str">
        <x:v>20mm</x:v>
      </x:c>
      <x:c r="I18" s="180" t="str">
        <x:v>Gray button</x:v>
      </x:c>
      <x:c r="J18" s="180" t="str"/>
      <x:c r="K18" s="180" t="str"/>
      <x:c r="L18" s="180" t="str"/>
      <x:c r="M18" s="180" t="str"/>
      <x:c r="N18" s="180" t="str"/>
      <x:c r="O18" s="180" t="str">
        <x:v>Global / availability varies</x:v>
      </x:c>
      <x:c r="P18" s="180" t="str">
        <x:v>Observed in public West online-store indexing; account availability may differ</x:v>
      </x:c>
      <x:c r="Q18" s="180" t="str">
        <x:v>Active</x:v>
      </x:c>
      <x:c r="R18" s="180" t="str">
        <x:v>High</x:v>
      </x:c>
      <x:c r="S18" s="180" t="str">
        <x:v>Public store SKU verified</x:v>
      </x:c>
      <x:c r="T18" s="180" t="str">
        <x:v>West Online Store indexed product page</x:v>
      </x:c>
      <x:c r="U18" s="180" t="str">
        <x:v>https://www.westpharma.com/online-store/all-products</x:v>
      </x:c>
      <x:c r="V18" s="180" t="n">
        <x:v>46224.942662037036</x:v>
      </x:c>
      <x:c r="W18" s="186" t="str">
        <x:v>Exact product-detail URL should be refreshed by the Playwright crawler; duplicate item-number rows are deduplicated by canonical SKU key. Public-source seed researched through 2026-07-21.</x:v>
      </x:c>
    </x:row>
    <x:row r="19">
      <x:c r="A19" s="185" t="str">
        <x:v>West Pharmaceutical Services, Inc.</x:v>
      </x:c>
      <x:c r="B19" s="180" t="str">
        <x:v>Flip-Off</x:v>
      </x:c>
      <x:c r="C19" s="180" t="str">
        <x:v>Vial Containment Solutions</x:v>
      </x:c>
      <x:c r="D19" s="180" t="str">
        <x:v>Seals</x:v>
      </x:c>
      <x:c r="E19" s="180" t="str">
        <x:v>20mm Flip-Off Green Seals</x:v>
      </x:c>
      <x:c r="F19" s="205" t="str">
        <x:v>54202432</x:v>
      </x:c>
      <x:c r="G19" s="180" t="str">
        <x:v>20mm</x:v>
      </x:c>
      <x:c r="H19" s="180" t="str">
        <x:v>20mm</x:v>
      </x:c>
      <x:c r="I19" s="180" t="str">
        <x:v>Green button</x:v>
      </x:c>
      <x:c r="J19" s="180" t="str"/>
      <x:c r="K19" s="180" t="str"/>
      <x:c r="L19" s="180" t="str"/>
      <x:c r="M19" s="180" t="str"/>
      <x:c r="N19" s="180" t="str"/>
      <x:c r="O19" s="180" t="str">
        <x:v>Global / availability varies</x:v>
      </x:c>
      <x:c r="P19" s="180" t="str">
        <x:v>Observed in public West online-store indexing; account availability may differ</x:v>
      </x:c>
      <x:c r="Q19" s="180" t="str">
        <x:v>Active</x:v>
      </x:c>
      <x:c r="R19" s="180" t="str">
        <x:v>High</x:v>
      </x:c>
      <x:c r="S19" s="180" t="str">
        <x:v>Public store SKU verified</x:v>
      </x:c>
      <x:c r="T19" s="180" t="str">
        <x:v>West Online Store indexed product page</x:v>
      </x:c>
      <x:c r="U19" s="180" t="str">
        <x:v>https://www.westpharma.com/online-store/all-products</x:v>
      </x:c>
      <x:c r="V19" s="180" t="n">
        <x:v>46224.942662037036</x:v>
      </x:c>
      <x:c r="W19" s="186" t="str">
        <x:v>Exact product-detail URL should be refreshed by the Playwright crawler; duplicate item-number rows are deduplicated by canonical SKU key. Public-source seed researched through 2026-07-21.</x:v>
      </x:c>
    </x:row>
    <x:row r="20">
      <x:c r="A20" s="185" t="str">
        <x:v>West Pharmaceutical Services, Inc.</x:v>
      </x:c>
      <x:c r="B20" s="180" t="str">
        <x:v>Flip-Off</x:v>
      </x:c>
      <x:c r="C20" s="180" t="str">
        <x:v>Vial Containment Solutions</x:v>
      </x:c>
      <x:c r="D20" s="180" t="str">
        <x:v>Seals</x:v>
      </x:c>
      <x:c r="E20" s="180" t="str">
        <x:v>Flip-Off CCS Seal 13mm Blue</x:v>
      </x:c>
      <x:c r="F20" s="205" t="str">
        <x:v>5922-1128</x:v>
      </x:c>
      <x:c r="G20" s="180" t="str"/>
      <x:c r="H20" s="180" t="str">
        <x:v>13mm</x:v>
      </x:c>
      <x:c r="I20" s="180" t="str"/>
      <x:c r="J20" s="180" t="str">
        <x:v>Clean, certified, sterilized</x:v>
      </x:c>
      <x:c r="K20" s="180" t="str"/>
      <x:c r="L20" s="180" t="str"/>
      <x:c r="M20" s="180" t="str">
        <x:v>3 polyethylene bags</x:v>
      </x:c>
      <x:c r="N20" s="180" t="str">
        <x:v>1,000 seals</x:v>
      </x:c>
      <x:c r="O20" s="180" t="str">
        <x:v>Global / availability varies</x:v>
      </x:c>
      <x:c r="P20" s="180" t="str">
        <x:v>Publicly documented ready-to-use item</x:v>
      </x:c>
      <x:c r="Q20" s="180" t="str">
        <x:v>Active</x:v>
      </x:c>
      <x:c r="R20" s="180" t="str">
        <x:v>High</x:v>
      </x:c>
      <x:c r="S20" s="180" t="str">
        <x:v>Official PDF SKU verified</x:v>
      </x:c>
      <x:c r="T20" s="180" t="str">
        <x:v>West compounding pharmacy information sheet</x:v>
      </x:c>
      <x:c r="U20" s="180" t="str">
        <x:v>https://westpharma.com/-/media/WestPharma/Files/Products/Compounding-Pharmacy-information-sheet.pdf</x:v>
      </x:c>
      <x:c r="V20" s="180" t="n">
        <x:v>46224.942662037036</x:v>
      </x:c>
      <x:c r="W20" s="186" t="str">
        <x:v>Public-source seed researched through 2026-07-21.</x:v>
      </x:c>
    </x:row>
    <x:row r="21">
      <x:c r="A21" s="185" t="str">
        <x:v>West Pharmaceutical Services, Inc.</x:v>
      </x:c>
      <x:c r="B21" s="180" t="str">
        <x:v>Flip-Off</x:v>
      </x:c>
      <x:c r="C21" s="180" t="str">
        <x:v>Vial Containment Solutions</x:v>
      </x:c>
      <x:c r="D21" s="180" t="str">
        <x:v>Seals</x:v>
      </x:c>
      <x:c r="E21" s="180" t="str">
        <x:v>Flip-Off CCS Seal 13mm Red</x:v>
      </x:c>
      <x:c r="F21" s="205" t="str">
        <x:v>5922-1125</x:v>
      </x:c>
      <x:c r="G21" s="180" t="str"/>
      <x:c r="H21" s="180" t="str">
        <x:v>13mm</x:v>
      </x:c>
      <x:c r="I21" s="180" t="str"/>
      <x:c r="J21" s="180" t="str">
        <x:v>Clean, certified, sterilized</x:v>
      </x:c>
      <x:c r="K21" s="180" t="str"/>
      <x:c r="L21" s="180" t="str"/>
      <x:c r="M21" s="180" t="str">
        <x:v>3 polyethylene bags</x:v>
      </x:c>
      <x:c r="N21" s="180" t="str">
        <x:v>1,000 seals</x:v>
      </x:c>
      <x:c r="O21" s="180" t="str">
        <x:v>Global / availability varies</x:v>
      </x:c>
      <x:c r="P21" s="180" t="str">
        <x:v>Publicly documented ready-to-use item</x:v>
      </x:c>
      <x:c r="Q21" s="180" t="str">
        <x:v>Active</x:v>
      </x:c>
      <x:c r="R21" s="180" t="str">
        <x:v>High</x:v>
      </x:c>
      <x:c r="S21" s="180" t="str">
        <x:v>Official PDF SKU verified</x:v>
      </x:c>
      <x:c r="T21" s="180" t="str">
        <x:v>West compounding pharmacy information sheet | West Online Store indexed product page</x:v>
      </x:c>
      <x:c r="U21" s="180" t="str">
        <x:v>https://westpharma.com/-/media/WestPharma/Files/Products/Compounding-Pharmacy-information-sheet.pdf</x:v>
      </x:c>
      <x:c r="V21" s="180" t="n">
        <x:v>46224.942662037036</x:v>
      </x:c>
      <x:c r="W21" s="186" t="str">
        <x:v>Public-source seed researched through 2026-07-21. Exact product-detail URL should be refreshed by the Playwright crawler; duplicate item-number rows are deduplicated by canonical SKU key. Public-source seed researched through 2026-07-21.</x:v>
      </x:c>
    </x:row>
    <x:row r="22">
      <x:c r="A22" s="185" t="str">
        <x:v>West Pharmaceutical Services, Inc.</x:v>
      </x:c>
      <x:c r="B22" s="180" t="str">
        <x:v>Flip-Off</x:v>
      </x:c>
      <x:c r="C22" s="180" t="str">
        <x:v>Vial Containment Solutions</x:v>
      </x:c>
      <x:c r="D22" s="180" t="str">
        <x:v>Seals</x:v>
      </x:c>
      <x:c r="E22" s="180" t="str">
        <x:v>Flip-Off CCS Seal 13mm White</x:v>
      </x:c>
      <x:c r="F22" s="205" t="str">
        <x:v>5922-1120</x:v>
      </x:c>
      <x:c r="G22" s="180" t="str"/>
      <x:c r="H22" s="180" t="str">
        <x:v>13mm</x:v>
      </x:c>
      <x:c r="I22" s="180" t="str"/>
      <x:c r="J22" s="180" t="str">
        <x:v>Clean, certified, sterilized</x:v>
      </x:c>
      <x:c r="K22" s="180" t="str"/>
      <x:c r="L22" s="180" t="str"/>
      <x:c r="M22" s="180" t="str">
        <x:v>3 polyethylene bags</x:v>
      </x:c>
      <x:c r="N22" s="180" t="str">
        <x:v>1,000 seals</x:v>
      </x:c>
      <x:c r="O22" s="180" t="str">
        <x:v>Global / availability varies</x:v>
      </x:c>
      <x:c r="P22" s="180" t="str">
        <x:v>Publicly documented ready-to-use item</x:v>
      </x:c>
      <x:c r="Q22" s="180" t="str">
        <x:v>Active</x:v>
      </x:c>
      <x:c r="R22" s="180" t="str">
        <x:v>High</x:v>
      </x:c>
      <x:c r="S22" s="180" t="str">
        <x:v>Official PDF SKU verified</x:v>
      </x:c>
      <x:c r="T22" s="180" t="str">
        <x:v>West compounding pharmacy information sheet | West Online Store indexed product page | West Online Store indexed product page</x:v>
      </x:c>
      <x:c r="U22" s="180" t="str">
        <x:v>https://westpharma.com/-/media/WestPharma/Files/Products/Compounding-Pharmacy-information-sheet.pdf</x:v>
      </x:c>
      <x:c r="V22" s="180" t="n">
        <x:v>46224.942662037036</x:v>
      </x:c>
      <x:c r="W22" s="186" t="str">
        <x:v>Public-source seed researched through 2026-07-21. Exact product-detail URL should be refreshed by the Playwright crawler; duplicate item-number rows are deduplicated by canonical SKU key. Public-source seed researched through 2026-07-21. Exact product-detail URL should be refreshed by the Playwright crawler; duplicate item-number rows are deduplicated by canonical SKU key. Public-source seed researched through 2026-07-21.</x:v>
      </x:c>
    </x:row>
    <x:row r="23">
      <x:c r="A23" s="185" t="str">
        <x:v>West Pharmaceutical Services, Inc.</x:v>
      </x:c>
      <x:c r="B23" s="180" t="str">
        <x:v>Flip-Off</x:v>
      </x:c>
      <x:c r="C23" s="180" t="str">
        <x:v>Vial Containment Solutions</x:v>
      </x:c>
      <x:c r="D23" s="180" t="str">
        <x:v>Seals</x:v>
      </x:c>
      <x:c r="E23" s="180" t="str">
        <x:v>Flip-Off CCS Seal 20mm Blue</x:v>
      </x:c>
      <x:c r="F23" s="205" t="str">
        <x:v>5922-1127</x:v>
      </x:c>
      <x:c r="G23" s="180" t="str"/>
      <x:c r="H23" s="180" t="str">
        <x:v>20mm</x:v>
      </x:c>
      <x:c r="I23" s="180" t="str"/>
      <x:c r="J23" s="180" t="str">
        <x:v>Clean, certified, sterilized</x:v>
      </x:c>
      <x:c r="K23" s="180" t="str"/>
      <x:c r="L23" s="180" t="str"/>
      <x:c r="M23" s="180" t="str">
        <x:v>Double STERILizableBAG</x:v>
      </x:c>
      <x:c r="N23" s="180" t="str">
        <x:v>500 pieces</x:v>
      </x:c>
      <x:c r="O23" s="180" t="str">
        <x:v>Global / availability varies</x:v>
      </x:c>
      <x:c r="P23" s="180" t="str">
        <x:v>Publicly documented ready-to-use item</x:v>
      </x:c>
      <x:c r="Q23" s="180" t="str">
        <x:v>Active</x:v>
      </x:c>
      <x:c r="R23" s="180" t="str">
        <x:v>High</x:v>
      </x:c>
      <x:c r="S23" s="180" t="str">
        <x:v>Official PDF SKU verified</x:v>
      </x:c>
      <x:c r="T23" s="180" t="str">
        <x:v>West compounding pharmacy information sheet | West Online Store indexed product page</x:v>
      </x:c>
      <x:c r="U23" s="180" t="str">
        <x:v>https://westpharma.com/-/media/WestPharma/Files/Products/Compounding-Pharmacy-information-sheet.pdf</x:v>
      </x:c>
      <x:c r="V23" s="180" t="n">
        <x:v>46224.942662037036</x:v>
      </x:c>
      <x:c r="W23" s="186" t="str">
        <x:v>Public-source seed researched through 2026-07-21. Exact product-detail URL should be refreshed by the Playwright crawler; duplicate item-number rows are deduplicated by canonical SKU key. Public-source seed researched through 2026-07-21.</x:v>
      </x:c>
    </x:row>
    <x:row r="24">
      <x:c r="A24" s="185" t="str">
        <x:v>West Pharmaceutical Services, Inc.</x:v>
      </x:c>
      <x:c r="B24" s="180" t="str">
        <x:v>Flip-Off</x:v>
      </x:c>
      <x:c r="C24" s="180" t="str">
        <x:v>Vial Containment Solutions</x:v>
      </x:c>
      <x:c r="D24" s="180" t="str">
        <x:v>Seals</x:v>
      </x:c>
      <x:c r="E24" s="180" t="str">
        <x:v>Flip-Off CCS Seal 20mm Red</x:v>
      </x:c>
      <x:c r="F24" s="205" t="str">
        <x:v>5922-1143</x:v>
      </x:c>
      <x:c r="G24" s="180" t="str"/>
      <x:c r="H24" s="180" t="str">
        <x:v>20mm</x:v>
      </x:c>
      <x:c r="I24" s="180" t="str"/>
      <x:c r="J24" s="180" t="str">
        <x:v>Clean, certified, sterilized</x:v>
      </x:c>
      <x:c r="K24" s="180" t="str"/>
      <x:c r="L24" s="180" t="str"/>
      <x:c r="M24" s="180" t="str">
        <x:v>Double STERILizableBAG</x:v>
      </x:c>
      <x:c r="N24" s="180" t="str">
        <x:v>500 pieces</x:v>
      </x:c>
      <x:c r="O24" s="180" t="str">
        <x:v>Global / availability varies</x:v>
      </x:c>
      <x:c r="P24" s="180" t="str">
        <x:v>Publicly documented ready-to-use item</x:v>
      </x:c>
      <x:c r="Q24" s="180" t="str">
        <x:v>Active</x:v>
      </x:c>
      <x:c r="R24" s="180" t="str">
        <x:v>High</x:v>
      </x:c>
      <x:c r="S24" s="180" t="str">
        <x:v>Official PDF SKU verified</x:v>
      </x:c>
      <x:c r="T24" s="180" t="str">
        <x:v>West compounding pharmacy information sheet</x:v>
      </x:c>
      <x:c r="U24" s="180" t="str">
        <x:v>https://westpharma.com/-/media/WestPharma/Files/Products/Compounding-Pharmacy-information-sheet.pdf</x:v>
      </x:c>
      <x:c r="V24" s="180" t="n">
        <x:v>46224.942662037036</x:v>
      </x:c>
      <x:c r="W24" s="186" t="str">
        <x:v>Public-source seed researched through 2026-07-21.</x:v>
      </x:c>
    </x:row>
    <x:row r="25">
      <x:c r="A25" s="185" t="str">
        <x:v>West Pharmaceutical Services, Inc.</x:v>
      </x:c>
      <x:c r="B25" s="180" t="str">
        <x:v>Flip-Off</x:v>
      </x:c>
      <x:c r="C25" s="180" t="str">
        <x:v>Vial Containment Solutions</x:v>
      </x:c>
      <x:c r="D25" s="180" t="str">
        <x:v>Seals</x:v>
      </x:c>
      <x:c r="E25" s="180" t="str">
        <x:v>Flip-Off CCS Seal 20mm White</x:v>
      </x:c>
      <x:c r="F25" s="205" t="str">
        <x:v>5922-1141</x:v>
      </x:c>
      <x:c r="G25" s="180" t="str"/>
      <x:c r="H25" s="180" t="str">
        <x:v>20mm</x:v>
      </x:c>
      <x:c r="I25" s="180" t="str"/>
      <x:c r="J25" s="180" t="str">
        <x:v>Clean, certified, sterilized</x:v>
      </x:c>
      <x:c r="K25" s="180" t="str"/>
      <x:c r="L25" s="180" t="str"/>
      <x:c r="M25" s="180" t="str">
        <x:v>Double STERILizableBAG</x:v>
      </x:c>
      <x:c r="N25" s="180" t="str">
        <x:v>500 pieces</x:v>
      </x:c>
      <x:c r="O25" s="180" t="str">
        <x:v>Global / availability varies</x:v>
      </x:c>
      <x:c r="P25" s="180" t="str">
        <x:v>Publicly documented ready-to-use item</x:v>
      </x:c>
      <x:c r="Q25" s="180" t="str">
        <x:v>Active</x:v>
      </x:c>
      <x:c r="R25" s="180" t="str">
        <x:v>High</x:v>
      </x:c>
      <x:c r="S25" s="180" t="str">
        <x:v>Official PDF SKU verified</x:v>
      </x:c>
      <x:c r="T25" s="180" t="str">
        <x:v>West compounding pharmacy information sheet | West Online Store indexed product page</x:v>
      </x:c>
      <x:c r="U25" s="180" t="str">
        <x:v>https://westpharma.com/-/media/WestPharma/Files/Products/Compounding-Pharmacy-information-sheet.pdf</x:v>
      </x:c>
      <x:c r="V25" s="180" t="n">
        <x:v>46224.942662037036</x:v>
      </x:c>
      <x:c r="W25" s="186" t="str">
        <x:v>Public-source seed researched through 2026-07-21. Exact product-detail URL should be refreshed by the Playwright crawler; duplicate item-number rows are deduplicated by canonical SKU key. Public-source seed researched through 2026-07-21.</x:v>
      </x:c>
    </x:row>
    <x:row r="26">
      <x:c r="A26" s="185" t="str">
        <x:v>West Pharmaceutical Services, Inc.</x:v>
      </x:c>
      <x:c r="B26" s="180" t="str">
        <x:v>NovaPure</x:v>
      </x:c>
      <x:c r="C26" s="180" t="str">
        <x:v>Vial Containment Solutions</x:v>
      </x:c>
      <x:c r="D26" s="180" t="str">
        <x:v>Stoppers</x:v>
      </x:c>
      <x:c r="E26" s="180" t="str">
        <x:v>13mm NovaPure RS Chlorobutyl Serum Stoppers</x:v>
      </x:c>
      <x:c r="F26" s="205" t="str">
        <x:v>19700317</x:v>
      </x:c>
      <x:c r="G26" s="180" t="str">
        <x:v>13mm</x:v>
      </x:c>
      <x:c r="H26" s="180" t="str">
        <x:v>13mm</x:v>
      </x:c>
      <x:c r="I26" s="180" t="str">
        <x:v>Chlorobutyl</x:v>
      </x:c>
      <x:c r="J26" s="180" t="str">
        <x:v>RS</x:v>
      </x:c>
      <x:c r="K26" s="180" t="str"/>
      <x:c r="L26" s="180" t="str"/>
      <x:c r="M26" s="180" t="str"/>
      <x:c r="N26" s="180" t="str"/>
      <x:c r="O26" s="180" t="str">
        <x:v>Global / availability varies</x:v>
      </x:c>
      <x:c r="P26" s="180" t="str">
        <x:v>Observed in public West online-store indexing; account availability may differ</x:v>
      </x:c>
      <x:c r="Q26" s="180" t="str">
        <x:v>Active</x:v>
      </x:c>
      <x:c r="R26" s="180" t="str">
        <x:v>High</x:v>
      </x:c>
      <x:c r="S26" s="180" t="str">
        <x:v>Public store SKU verified</x:v>
      </x:c>
      <x:c r="T26" s="180" t="str">
        <x:v>West Online Store indexed product page</x:v>
      </x:c>
      <x:c r="U26" s="180" t="str">
        <x:v>https://www.westpharma.com/online-store/all-products</x:v>
      </x:c>
      <x:c r="V26" s="180" t="n">
        <x:v>46224.942662037036</x:v>
      </x:c>
      <x:c r="W26" s="186" t="str">
        <x:v>Exact product-detail URL should be refreshed by the Playwright crawler; duplicate item-number rows are deduplicated by canonical SKU key. Public-source seed researched through 2026-07-21.</x:v>
      </x:c>
    </x:row>
    <x:row r="27">
      <x:c r="A27" s="185" t="str">
        <x:v>West Pharmaceutical Services, Inc.</x:v>
      </x:c>
      <x:c r="B27" s="180" t="str">
        <x:v>NovaPure</x:v>
      </x:c>
      <x:c r="C27" s="180" t="str">
        <x:v>Vial Containment Solutions</x:v>
      </x:c>
      <x:c r="D27" s="180" t="str">
        <x:v>Stoppers</x:v>
      </x:c>
      <x:c r="E27" s="180" t="str">
        <x:v>13mm NovaPure RU Bromobutyl Lyo Stoppers</x:v>
      </x:c>
      <x:c r="F27" s="205" t="str">
        <x:v>100015069</x:v>
      </x:c>
      <x:c r="G27" s="180" t="str">
        <x:v>13mm</x:v>
      </x:c>
      <x:c r="H27" s="180" t="str">
        <x:v>13mm</x:v>
      </x:c>
      <x:c r="I27" s="180" t="str">
        <x:v>Bromobutyl</x:v>
      </x:c>
      <x:c r="J27" s="180" t="str">
        <x:v>RU</x:v>
      </x:c>
      <x:c r="K27" s="180" t="str"/>
      <x:c r="L27" s="180" t="str"/>
      <x:c r="M27" s="180" t="str"/>
      <x:c r="N27" s="180" t="str"/>
      <x:c r="O27" s="180" t="str">
        <x:v>Global / availability varies</x:v>
      </x:c>
      <x:c r="P27" s="180" t="str">
        <x:v>Observed in public West online-store indexing; account availability may differ</x:v>
      </x:c>
      <x:c r="Q27" s="180" t="str">
        <x:v>Active</x:v>
      </x:c>
      <x:c r="R27" s="180" t="str">
        <x:v>High</x:v>
      </x:c>
      <x:c r="S27" s="180" t="str">
        <x:v>Public store SKU verified</x:v>
      </x:c>
      <x:c r="T27" s="180" t="str">
        <x:v>West Online Store indexed product page</x:v>
      </x:c>
      <x:c r="U27" s="180" t="str">
        <x:v>https://www.westpharma.com/online-store/all-products</x:v>
      </x:c>
      <x:c r="V27" s="180" t="n">
        <x:v>46224.942662037036</x:v>
      </x:c>
      <x:c r="W27" s="186" t="str">
        <x:v>Exact product-detail URL should be refreshed by the Playwright crawler; duplicate item-number rows are deduplicated by canonical SKU key. Public-source seed researched through 2026-07-21.</x:v>
      </x:c>
    </x:row>
    <x:row r="28">
      <x:c r="A28" s="185" t="str">
        <x:v>West Pharmaceutical Services, Inc.</x:v>
      </x:c>
      <x:c r="B28" s="180" t="str">
        <x:v>NovaPure</x:v>
      </x:c>
      <x:c r="C28" s="180" t="str">
        <x:v>Vial Containment Solutions</x:v>
      </x:c>
      <x:c r="D28" s="180" t="str">
        <x:v>Stoppers</x:v>
      </x:c>
      <x:c r="E28" s="180" t="str">
        <x:v>13mm NovaPure RU Bromobutyl Serum Stoppers</x:v>
      </x:c>
      <x:c r="F28" s="205" t="str">
        <x:v>100014583</x:v>
      </x:c>
      <x:c r="G28" s="180" t="str">
        <x:v>13mm</x:v>
      </x:c>
      <x:c r="H28" s="180" t="str">
        <x:v>13mm</x:v>
      </x:c>
      <x:c r="I28" s="180" t="str">
        <x:v>Bromobutyl</x:v>
      </x:c>
      <x:c r="J28" s="180" t="str">
        <x:v>RU</x:v>
      </x:c>
      <x:c r="K28" s="180" t="str"/>
      <x:c r="L28" s="180" t="str"/>
      <x:c r="M28" s="180" t="str"/>
      <x:c r="N28" s="180" t="str"/>
      <x:c r="O28" s="180" t="str">
        <x:v>Global / availability varies</x:v>
      </x:c>
      <x:c r="P28" s="180" t="str">
        <x:v>Observed in public West online-store indexing; account availability may differ</x:v>
      </x:c>
      <x:c r="Q28" s="180" t="str">
        <x:v>Active</x:v>
      </x:c>
      <x:c r="R28" s="180" t="str">
        <x:v>High</x:v>
      </x:c>
      <x:c r="S28" s="180" t="str">
        <x:v>Public store SKU verified</x:v>
      </x:c>
      <x:c r="T28" s="180" t="str">
        <x:v>West Online Store indexed product page</x:v>
      </x:c>
      <x:c r="U28" s="180" t="str">
        <x:v>https://www.westpharma.com/online-store/all-products</x:v>
      </x:c>
      <x:c r="V28" s="180" t="n">
        <x:v>46224.942662037036</x:v>
      </x:c>
      <x:c r="W28" s="186" t="str">
        <x:v>Exact product-detail URL should be refreshed by the Playwright crawler; duplicate item-number rows are deduplicated by canonical SKU key. Public-source seed researched through 2026-07-21.</x:v>
      </x:c>
    </x:row>
    <x:row r="29">
      <x:c r="A29" s="185" t="str">
        <x:v>West Pharmaceutical Services, Inc.</x:v>
      </x:c>
      <x:c r="B29" s="180" t="str">
        <x:v>NovaPure</x:v>
      </x:c>
      <x:c r="C29" s="180" t="str">
        <x:v>Vial Containment Solutions</x:v>
      </x:c>
      <x:c r="D29" s="180" t="str">
        <x:v>Stoppers</x:v>
      </x:c>
      <x:c r="E29" s="180" t="str">
        <x:v>13mm NovaPure RU Chlorobutyl Lyo Stoppers</x:v>
      </x:c>
      <x:c r="F29" s="205" t="str">
        <x:v>19700308</x:v>
      </x:c>
      <x:c r="G29" s="180" t="str">
        <x:v>13mm</x:v>
      </x:c>
      <x:c r="H29" s="180" t="str">
        <x:v>13mm</x:v>
      </x:c>
      <x:c r="I29" s="180" t="str">
        <x:v>Chlorobutyl</x:v>
      </x:c>
      <x:c r="J29" s="180" t="str">
        <x:v>RU</x:v>
      </x:c>
      <x:c r="K29" s="180" t="str"/>
      <x:c r="L29" s="180" t="str"/>
      <x:c r="M29" s="180" t="str"/>
      <x:c r="N29" s="180" t="str"/>
      <x:c r="O29" s="180" t="str">
        <x:v>Global / availability varies</x:v>
      </x:c>
      <x:c r="P29" s="180" t="str">
        <x:v>Observed in public West online-store indexing; account availability may differ</x:v>
      </x:c>
      <x:c r="Q29" s="180" t="str">
        <x:v>Active</x:v>
      </x:c>
      <x:c r="R29" s="180" t="str">
        <x:v>High</x:v>
      </x:c>
      <x:c r="S29" s="180" t="str">
        <x:v>Public store SKU verified</x:v>
      </x:c>
      <x:c r="T29" s="180" t="str">
        <x:v>West Online Store indexed product page</x:v>
      </x:c>
      <x:c r="U29" s="180" t="str">
        <x:v>https://www.westpharma.com/online-store/all-products</x:v>
      </x:c>
      <x:c r="V29" s="180" t="n">
        <x:v>46224.942662037036</x:v>
      </x:c>
      <x:c r="W29" s="186" t="str">
        <x:v>Exact product-detail URL should be refreshed by the Playwright crawler; duplicate item-number rows are deduplicated by canonical SKU key. Public-source seed researched through 2026-07-21.</x:v>
      </x:c>
    </x:row>
    <x:row r="30">
      <x:c r="A30" s="185" t="str">
        <x:v>West Pharmaceutical Services, Inc.</x:v>
      </x:c>
      <x:c r="B30" s="180" t="str">
        <x:v>LyoTec</x:v>
      </x:c>
      <x:c r="C30" s="180" t="str">
        <x:v>Vial Containment Solutions</x:v>
      </x:c>
      <x:c r="D30" s="180" t="str">
        <x:v>Stoppers</x:v>
      </x:c>
      <x:c r="E30" s="180" t="str">
        <x:v>13mm V50I LyoTec Westar Select RS Chlorobutyl 4040/40 Gray B2 Lyo Stopper</x:v>
      </x:c>
      <x:c r="F30" s="205" t="str">
        <x:v>10123792</x:v>
      </x:c>
      <x:c r="G30" s="180" t="str">
        <x:v>13mm</x:v>
      </x:c>
      <x:c r="H30" s="180" t="str">
        <x:v>13mm</x:v>
      </x:c>
      <x:c r="I30" s="180" t="str">
        <x:v>Chlorobutyl 4040/40 gray</x:v>
      </x:c>
      <x:c r="J30" s="180" t="str">
        <x:v>Westar Select RS</x:v>
      </x:c>
      <x:c r="K30" s="180" t="str"/>
      <x:c r="L30" s="180" t="str"/>
      <x:c r="M30" s="180" t="str"/>
      <x:c r="N30" s="180" t="str"/>
      <x:c r="O30" s="180" t="str">
        <x:v>Global / availability varies</x:v>
      </x:c>
      <x:c r="P30" s="180" t="str">
        <x:v>Observed in public West online-store indexing; account availability may differ</x:v>
      </x:c>
      <x:c r="Q30" s="180" t="str">
        <x:v>Active</x:v>
      </x:c>
      <x:c r="R30" s="180" t="str">
        <x:v>High</x:v>
      </x:c>
      <x:c r="S30" s="180" t="str">
        <x:v>Public store SKU verified</x:v>
      </x:c>
      <x:c r="T30" s="180" t="str">
        <x:v>West Online Store indexed product page</x:v>
      </x:c>
      <x:c r="U30" s="180" t="str">
        <x:v>https://www.westpharma.com/online-store/all-products</x:v>
      </x:c>
      <x:c r="V30" s="180" t="n">
        <x:v>46224.942662037036</x:v>
      </x:c>
      <x:c r="W30" s="186" t="str">
        <x:v>Exact product-detail URL should be refreshed by the Playwright crawler; duplicate item-number rows are deduplicated by canonical SKU key. Public-source seed researched through 2026-07-21.</x:v>
      </x:c>
    </x:row>
    <x:row r="31">
      <x:c r="A31" s="185" t="str">
        <x:v>West Pharmaceutical Services, Inc.</x:v>
      </x:c>
      <x:c r="B31" s="180" t="str">
        <x:v>Westar Select</x:v>
      </x:c>
      <x:c r="C31" s="180" t="str">
        <x:v>Vial Containment Solutions</x:v>
      </x:c>
      <x:c r="D31" s="180" t="str">
        <x:v>Stoppers</x:v>
      </x:c>
      <x:c r="E31" s="180" t="str">
        <x:v>13mm Westar Select RS Lyo Bromobutyl 4023/50 FluroTec Envision Stoppers</x:v>
      </x:c>
      <x:c r="F31" s="205" t="str">
        <x:v>10122743</x:v>
      </x:c>
      <x:c r="G31" s="180" t="str">
        <x:v>13mm</x:v>
      </x:c>
      <x:c r="H31" s="180" t="str">
        <x:v>13mm</x:v>
      </x:c>
      <x:c r="I31" s="180" t="str">
        <x:v>Bromobutyl 4023/50</x:v>
      </x:c>
      <x:c r="J31" s="180" t="str">
        <x:v>Westar Select RS</x:v>
      </x:c>
      <x:c r="K31" s="180" t="str"/>
      <x:c r="L31" s="180" t="str"/>
      <x:c r="M31" s="180" t="str"/>
      <x:c r="N31" s="180" t="str"/>
      <x:c r="O31" s="180" t="str">
        <x:v>Global / availability varies</x:v>
      </x:c>
      <x:c r="P31" s="180" t="str">
        <x:v>Observed in public West online-store indexing; account availability may differ</x:v>
      </x:c>
      <x:c r="Q31" s="180" t="str">
        <x:v>Active</x:v>
      </x:c>
      <x:c r="R31" s="180" t="str">
        <x:v>High</x:v>
      </x:c>
      <x:c r="S31" s="180" t="str">
        <x:v>Public store SKU verified</x:v>
      </x:c>
      <x:c r="T31" s="180" t="str">
        <x:v>West Online Store indexed product page</x:v>
      </x:c>
      <x:c r="U31" s="180" t="str">
        <x:v>https://www.westpharma.com/online-store/all-products</x:v>
      </x:c>
      <x:c r="V31" s="180" t="n">
        <x:v>46224.942662037036</x:v>
      </x:c>
      <x:c r="W31" s="186" t="str">
        <x:v>Exact product-detail URL should be refreshed by the Playwright crawler; duplicate item-number rows are deduplicated by canonical SKU key. Public-source seed researched through 2026-07-21.</x:v>
      </x:c>
    </x:row>
    <x:row r="32">
      <x:c r="A32" s="185" t="str">
        <x:v>West Pharmaceutical Services, Inc.</x:v>
      </x:c>
      <x:c r="B32" s="180" t="str">
        <x:v>NovaPure</x:v>
      </x:c>
      <x:c r="C32" s="180" t="str">
        <x:v>Vial Containment Solutions</x:v>
      </x:c>
      <x:c r="D32" s="180" t="str">
        <x:v>Stoppers</x:v>
      </x:c>
      <x:c r="E32" s="180" t="str">
        <x:v>20mm NovaPure RS Bromobutyl 4023/50 Lyo Stoppers</x:v>
      </x:c>
      <x:c r="F32" s="205" t="str">
        <x:v>70025023</x:v>
      </x:c>
      <x:c r="G32" s="180" t="str">
        <x:v>20mm</x:v>
      </x:c>
      <x:c r="H32" s="180" t="str">
        <x:v>20mm</x:v>
      </x:c>
      <x:c r="I32" s="180" t="str">
        <x:v>Bromobutyl 4023/50</x:v>
      </x:c>
      <x:c r="J32" s="180" t="str">
        <x:v>RS</x:v>
      </x:c>
      <x:c r="K32" s="180" t="str"/>
      <x:c r="L32" s="180" t="str"/>
      <x:c r="M32" s="180" t="str"/>
      <x:c r="N32" s="180" t="str"/>
      <x:c r="O32" s="180" t="str">
        <x:v>Global / availability varies</x:v>
      </x:c>
      <x:c r="P32" s="180" t="str">
        <x:v>Observed in public West online-store indexing; account availability may differ</x:v>
      </x:c>
      <x:c r="Q32" s="180" t="str">
        <x:v>Active</x:v>
      </x:c>
      <x:c r="R32" s="180" t="str">
        <x:v>High</x:v>
      </x:c>
      <x:c r="S32" s="180" t="str">
        <x:v>Public store SKU verified</x:v>
      </x:c>
      <x:c r="T32" s="180" t="str">
        <x:v>West Online Store indexed product page</x:v>
      </x:c>
      <x:c r="U32" s="180" t="str">
        <x:v>https://www.westpharma.com/online-store/all-products</x:v>
      </x:c>
      <x:c r="V32" s="180" t="n">
        <x:v>46224.942662037036</x:v>
      </x:c>
      <x:c r="W32" s="186" t="str">
        <x:v>Exact product-detail URL should be refreshed by the Playwright crawler; duplicate item-number rows are deduplicated by canonical SKU key. Public-source seed researched through 2026-07-21.</x:v>
      </x:c>
    </x:row>
    <x:row r="33">
      <x:c r="A33" s="185" t="str">
        <x:v>West Pharmaceutical Services, Inc.</x:v>
      </x:c>
      <x:c r="B33" s="180" t="str">
        <x:v>NovaPure</x:v>
      </x:c>
      <x:c r="C33" s="180" t="str">
        <x:v>Vial Containment Solutions</x:v>
      </x:c>
      <x:c r="D33" s="180" t="str">
        <x:v>Stoppers</x:v>
      </x:c>
      <x:c r="E33" s="180" t="str">
        <x:v>20mm NovaPure RU Bromobutyl 4023/50 Lyo Stoppers</x:v>
      </x:c>
      <x:c r="F33" s="205" t="str">
        <x:v>100015058</x:v>
      </x:c>
      <x:c r="G33" s="180" t="str">
        <x:v>20mm</x:v>
      </x:c>
      <x:c r="H33" s="180" t="str">
        <x:v>20mm</x:v>
      </x:c>
      <x:c r="I33" s="180" t="str">
        <x:v>Bromobutyl 4023/50</x:v>
      </x:c>
      <x:c r="J33" s="180" t="str">
        <x:v>RU</x:v>
      </x:c>
      <x:c r="K33" s="180" t="str"/>
      <x:c r="L33" s="180" t="str"/>
      <x:c r="M33" s="180" t="str"/>
      <x:c r="N33" s="180" t="str"/>
      <x:c r="O33" s="180" t="str">
        <x:v>Global / availability varies</x:v>
      </x:c>
      <x:c r="P33" s="180" t="str">
        <x:v>Observed in public West online-store indexing; account availability may differ</x:v>
      </x:c>
      <x:c r="Q33" s="180" t="str">
        <x:v>Active</x:v>
      </x:c>
      <x:c r="R33" s="180" t="str">
        <x:v>High</x:v>
      </x:c>
      <x:c r="S33" s="180" t="str">
        <x:v>Public store SKU verified</x:v>
      </x:c>
      <x:c r="T33" s="180" t="str">
        <x:v>West Online Store indexed product page</x:v>
      </x:c>
      <x:c r="U33" s="180" t="str">
        <x:v>https://www.westpharma.com/online-store/all-products</x:v>
      </x:c>
      <x:c r="V33" s="180" t="n">
        <x:v>46224.942662037036</x:v>
      </x:c>
      <x:c r="W33" s="186" t="str">
        <x:v>Exact product-detail URL should be refreshed by the Playwright crawler; duplicate item-number rows are deduplicated by canonical SKU key. Public-source seed researched through 2026-07-21.</x:v>
      </x:c>
    </x:row>
    <x:row r="34">
      <x:c r="A34" s="185" t="str">
        <x:v>West Pharmaceutical Services, Inc.</x:v>
      </x:c>
      <x:c r="B34" s="180" t="str">
        <x:v>NovaPure</x:v>
      </x:c>
      <x:c r="C34" s="180" t="str">
        <x:v>Vial Containment Solutions</x:v>
      </x:c>
      <x:c r="D34" s="180" t="str">
        <x:v>Stoppers</x:v>
      </x:c>
      <x:c r="E34" s="180" t="str">
        <x:v>20mm NovaPure RU Bromobutyl Lyo Stoppers</x:v>
      </x:c>
      <x:c r="F34" s="205" t="str">
        <x:v>19700365</x:v>
      </x:c>
      <x:c r="G34" s="180" t="str">
        <x:v>20mm</x:v>
      </x:c>
      <x:c r="H34" s="180" t="str">
        <x:v>20mm</x:v>
      </x:c>
      <x:c r="I34" s="180" t="str">
        <x:v>Bromobutyl</x:v>
      </x:c>
      <x:c r="J34" s="180" t="str">
        <x:v>RU</x:v>
      </x:c>
      <x:c r="K34" s="180" t="str"/>
      <x:c r="L34" s="180" t="str"/>
      <x:c r="M34" s="180" t="str"/>
      <x:c r="N34" s="180" t="str"/>
      <x:c r="O34" s="180" t="str">
        <x:v>Global / availability varies</x:v>
      </x:c>
      <x:c r="P34" s="180" t="str">
        <x:v>Observed in public West online-store indexing; account availability may differ</x:v>
      </x:c>
      <x:c r="Q34" s="180" t="str">
        <x:v>Active</x:v>
      </x:c>
      <x:c r="R34" s="180" t="str">
        <x:v>High</x:v>
      </x:c>
      <x:c r="S34" s="180" t="str">
        <x:v>Public store SKU verified</x:v>
      </x:c>
      <x:c r="T34" s="180" t="str">
        <x:v>West Online Store indexed product page</x:v>
      </x:c>
      <x:c r="U34" s="180" t="str">
        <x:v>https://www.westpharma.com/online-store/all-products</x:v>
      </x:c>
      <x:c r="V34" s="180" t="n">
        <x:v>46224.942662037036</x:v>
      </x:c>
      <x:c r="W34" s="186" t="str">
        <x:v>Exact product-detail URL should be refreshed by the Playwright crawler; duplicate item-number rows are deduplicated by canonical SKU key. Public-source seed researched through 2026-07-21.</x:v>
      </x:c>
    </x:row>
    <x:row r="35">
      <x:c r="A35" s="185" t="str">
        <x:v>West Pharmaceutical Services, Inc.</x:v>
      </x:c>
      <x:c r="B35" s="180" t="str">
        <x:v>NovaPure</x:v>
      </x:c>
      <x:c r="C35" s="180" t="str">
        <x:v>Vial Containment Solutions</x:v>
      </x:c>
      <x:c r="D35" s="180" t="str">
        <x:v>Stoppers</x:v>
      </x:c>
      <x:c r="E35" s="180" t="str">
        <x:v>20mm NovaPure RU Chlorobutyl 4432/50 Lyo Stoppers</x:v>
      </x:c>
      <x:c r="F35" s="205" t="str">
        <x:v>19700311</x:v>
      </x:c>
      <x:c r="G35" s="180" t="str">
        <x:v>20mm</x:v>
      </x:c>
      <x:c r="H35" s="180" t="str">
        <x:v>20mm</x:v>
      </x:c>
      <x:c r="I35" s="180" t="str">
        <x:v>Chlorobutyl 4432/50</x:v>
      </x:c>
      <x:c r="J35" s="180" t="str">
        <x:v>RU</x:v>
      </x:c>
      <x:c r="K35" s="180" t="str"/>
      <x:c r="L35" s="180" t="str"/>
      <x:c r="M35" s="180" t="str"/>
      <x:c r="N35" s="180" t="str"/>
      <x:c r="O35" s="180" t="str">
        <x:v>Global / availability varies</x:v>
      </x:c>
      <x:c r="P35" s="180" t="str">
        <x:v>Observed in public West online-store indexing; account availability may differ</x:v>
      </x:c>
      <x:c r="Q35" s="180" t="str">
        <x:v>Active</x:v>
      </x:c>
      <x:c r="R35" s="180" t="str">
        <x:v>High</x:v>
      </x:c>
      <x:c r="S35" s="180" t="str">
        <x:v>Public store SKU verified</x:v>
      </x:c>
      <x:c r="T35" s="180" t="str">
        <x:v>West Online Store indexed product page</x:v>
      </x:c>
      <x:c r="U35" s="180" t="str">
        <x:v>https://www.westpharma.com/online-store/all-products</x:v>
      </x:c>
      <x:c r="V35" s="180" t="n">
        <x:v>46224.942662037036</x:v>
      </x:c>
      <x:c r="W35" s="186" t="str">
        <x:v>Exact product-detail URL should be refreshed by the Playwright crawler; duplicate item-number rows are deduplicated by canonical SKU key. Public-source seed researched through 2026-07-21.</x:v>
      </x:c>
    </x:row>
    <x:row r="36">
      <x:c r="A36" s="185" t="str">
        <x:v>West Pharmaceutical Services, Inc.</x:v>
      </x:c>
      <x:c r="B36" s="180" t="str">
        <x:v>NovaPure</x:v>
      </x:c>
      <x:c r="C36" s="180" t="str">
        <x:v>Vial Containment Solutions</x:v>
      </x:c>
      <x:c r="D36" s="180" t="str">
        <x:v>Stoppers</x:v>
      </x:c>
      <x:c r="E36" s="180" t="str">
        <x:v>20mm NovaPure RU Chlorobutyl Serum Stoppers</x:v>
      </x:c>
      <x:c r="F36" s="205" t="str">
        <x:v>100015061</x:v>
      </x:c>
      <x:c r="G36" s="180" t="str">
        <x:v>20mm</x:v>
      </x:c>
      <x:c r="H36" s="180" t="str">
        <x:v>20mm</x:v>
      </x:c>
      <x:c r="I36" s="180" t="str">
        <x:v>Chlorobutyl</x:v>
      </x:c>
      <x:c r="J36" s="180" t="str">
        <x:v>RU</x:v>
      </x:c>
      <x:c r="K36" s="180" t="str"/>
      <x:c r="L36" s="180" t="str"/>
      <x:c r="M36" s="180" t="str"/>
      <x:c r="N36" s="180" t="str"/>
      <x:c r="O36" s="180" t="str">
        <x:v>Global / availability varies</x:v>
      </x:c>
      <x:c r="P36" s="180" t="str">
        <x:v>Observed in public West online-store indexing; account availability may differ</x:v>
      </x:c>
      <x:c r="Q36" s="180" t="str">
        <x:v>Active</x:v>
      </x:c>
      <x:c r="R36" s="180" t="str">
        <x:v>High</x:v>
      </x:c>
      <x:c r="S36" s="180" t="str">
        <x:v>Public store SKU verified</x:v>
      </x:c>
      <x:c r="T36" s="180" t="str">
        <x:v>West Online Store indexed product page</x:v>
      </x:c>
      <x:c r="U36" s="180" t="str">
        <x:v>https://www.westpharma.com/online-store/all-products</x:v>
      </x:c>
      <x:c r="V36" s="180" t="n">
        <x:v>46224.942662037036</x:v>
      </x:c>
      <x:c r="W36" s="186" t="str">
        <x:v>Exact product-detail URL should be refreshed by the Playwright crawler; duplicate item-number rows are deduplicated by canonical SKU key. Public-source seed researched through 2026-07-21.</x:v>
      </x:c>
    </x:row>
    <x:row r="37">
      <x:c r="A37" s="185" t="str">
        <x:v>West Pharmaceutical Services, Inc.</x:v>
      </x:c>
      <x:c r="B37" s="180" t="str">
        <x:v>Westar Select</x:v>
      </x:c>
      <x:c r="C37" s="180" t="str">
        <x:v>Vial Containment Solutions</x:v>
      </x:c>
      <x:c r="D37" s="180" t="str">
        <x:v>Stoppers</x:v>
      </x:c>
      <x:c r="E37" s="180" t="str">
        <x:v>20mm Westar Select RS Serum Bromobutyl 4023/50 FluroTec Envision Stoppers</x:v>
      </x:c>
      <x:c r="F37" s="205" t="str">
        <x:v>10145417</x:v>
      </x:c>
      <x:c r="G37" s="180" t="str">
        <x:v>20mm</x:v>
      </x:c>
      <x:c r="H37" s="180" t="str">
        <x:v>20mm</x:v>
      </x:c>
      <x:c r="I37" s="180" t="str">
        <x:v>Bromobutyl 4023/50</x:v>
      </x:c>
      <x:c r="J37" s="180" t="str">
        <x:v>Westar Select RS</x:v>
      </x:c>
      <x:c r="K37" s="180" t="str"/>
      <x:c r="L37" s="180" t="str"/>
      <x:c r="M37" s="180" t="str"/>
      <x:c r="N37" s="180" t="str"/>
      <x:c r="O37" s="180" t="str">
        <x:v>Global / availability varies</x:v>
      </x:c>
      <x:c r="P37" s="180" t="str">
        <x:v>Observed in public West online-store indexing; account availability may differ</x:v>
      </x:c>
      <x:c r="Q37" s="180" t="str">
        <x:v>Active</x:v>
      </x:c>
      <x:c r="R37" s="180" t="str">
        <x:v>High</x:v>
      </x:c>
      <x:c r="S37" s="180" t="str">
        <x:v>Public store SKU verified</x:v>
      </x:c>
      <x:c r="T37" s="180" t="str">
        <x:v>West Online Store indexed product page</x:v>
      </x:c>
      <x:c r="U37" s="180" t="str">
        <x:v>https://www.westpharma.com/online-store/all-products</x:v>
      </x:c>
      <x:c r="V37" s="180" t="n">
        <x:v>46224.942662037036</x:v>
      </x:c>
      <x:c r="W37" s="186" t="str">
        <x:v>Exact product-detail URL should be refreshed by the Playwright crawler; duplicate item-number rows are deduplicated by canonical SKU key. Public-source seed researched through 2026-07-21.</x:v>
      </x:c>
    </x:row>
    <x:row r="38">
      <x:c r="A38" s="185" t="str">
        <x:v>West Pharmaceutical Services, Inc.</x:v>
      </x:c>
      <x:c r="B38" s="180" t="str">
        <x:v>NovaPure</x:v>
      </x:c>
      <x:c r="C38" s="180" t="str">
        <x:v>Vial Containment Solutions</x:v>
      </x:c>
      <x:c r="D38" s="180" t="str">
        <x:v>Stoppers</x:v>
      </x:c>
      <x:c r="E38" s="180" t="str">
        <x:v>NovaPure Serum Stopper 13mm 4023/50 Gray</x:v>
      </x:c>
      <x:c r="F38" s="205" t="str">
        <x:v>1970-0360</x:v>
      </x:c>
      <x:c r="G38" s="180" t="str"/>
      <x:c r="H38" s="180" t="str">
        <x:v>13mm</x:v>
      </x:c>
      <x:c r="I38" s="180" t="str">
        <x:v>Bromobutyl 4023/50 gray</x:v>
      </x:c>
      <x:c r="J38" s="180" t="str">
        <x:v>Ready-to-use sterilized</x:v>
      </x:c>
      <x:c r="K38" s="180" t="str">
        <x:v>FluroTec</x:v>
      </x:c>
      <x:c r="L38" s="180" t="str">
        <x:v>100% Envision</x:v>
      </x:c>
      <x:c r="M38" s="180" t="str">
        <x:v>Double STERILizableBAG</x:v>
      </x:c>
      <x:c r="N38" s="180" t="str">
        <x:v>1,000 pieces</x:v>
      </x:c>
      <x:c r="O38" s="180" t="str">
        <x:v>Global / availability varies</x:v>
      </x:c>
      <x:c r="P38" s="180" t="str">
        <x:v>Publicly documented ready-to-use item</x:v>
      </x:c>
      <x:c r="Q38" s="180" t="str">
        <x:v>Active</x:v>
      </x:c>
      <x:c r="R38" s="180" t="str">
        <x:v>High</x:v>
      </x:c>
      <x:c r="S38" s="180" t="str">
        <x:v>Official PDF SKU verified</x:v>
      </x:c>
      <x:c r="T38" s="180" t="str">
        <x:v>West compounding pharmacy information sheet</x:v>
      </x:c>
      <x:c r="U38" s="180" t="str">
        <x:v>https://westpharma.com/-/media/WestPharma/Files/Products/Compounding-Pharmacy-information-sheet.pdf</x:v>
      </x:c>
      <x:c r="V38" s="180" t="n">
        <x:v>46224.942662037036</x:v>
      </x:c>
      <x:c r="W38" s="186" t="str">
        <x:v>Public-source seed researched through 2026-07-21.</x:v>
      </x:c>
    </x:row>
    <x:row r="39">
      <x:c r="A39" s="185" t="str">
        <x:v>West Pharmaceutical Services, Inc.</x:v>
      </x:c>
      <x:c r="B39" s="180" t="str">
        <x:v>NovaPure</x:v>
      </x:c>
      <x:c r="C39" s="180" t="str">
        <x:v>Vial Containment Solutions</x:v>
      </x:c>
      <x:c r="D39" s="180" t="str">
        <x:v>Stoppers</x:v>
      </x:c>
      <x:c r="E39" s="180" t="str">
        <x:v>NovaPure Serum Stopper 20mm 4023/50 Gray</x:v>
      </x:c>
      <x:c r="F39" s="205" t="str">
        <x:v>1970-0361</x:v>
      </x:c>
      <x:c r="G39" s="180" t="str"/>
      <x:c r="H39" s="180" t="str">
        <x:v>20mm</x:v>
      </x:c>
      <x:c r="I39" s="180" t="str">
        <x:v>Bromobutyl 4023/50 gray</x:v>
      </x:c>
      <x:c r="J39" s="180" t="str">
        <x:v>Ready-to-use sterilized</x:v>
      </x:c>
      <x:c r="K39" s="180" t="str">
        <x:v>FluroTec</x:v>
      </x:c>
      <x:c r="L39" s="180" t="str">
        <x:v>100% Envision</x:v>
      </x:c>
      <x:c r="M39" s="180" t="str">
        <x:v>Double STERILizableBAG</x:v>
      </x:c>
      <x:c r="N39" s="180" t="str">
        <x:v>500 pieces</x:v>
      </x:c>
      <x:c r="O39" s="180" t="str">
        <x:v>Global / availability varies</x:v>
      </x:c>
      <x:c r="P39" s="180" t="str">
        <x:v>Publicly documented ready-to-use item</x:v>
      </x:c>
      <x:c r="Q39" s="180" t="str">
        <x:v>Active</x:v>
      </x:c>
      <x:c r="R39" s="180" t="str">
        <x:v>High</x:v>
      </x:c>
      <x:c r="S39" s="180" t="str">
        <x:v>Official PDF SKU verified</x:v>
      </x:c>
      <x:c r="T39" s="180" t="str">
        <x:v>West compounding pharmacy information sheet</x:v>
      </x:c>
      <x:c r="U39" s="180" t="str">
        <x:v>https://westpharma.com/-/media/WestPharma/Files/Products/Compounding-Pharmacy-information-sheet.pdf</x:v>
      </x:c>
      <x:c r="V39" s="180" t="n">
        <x:v>46224.942662037036</x:v>
      </x:c>
      <x:c r="W39" s="186" t="str">
        <x:v>Public-source seed researched through 2026-07-21.</x:v>
      </x:c>
    </x:row>
    <x:row r="40">
      <x:c r="A40" s="185" t="str">
        <x:v>West Pharmaceutical Services, Inc.</x:v>
      </x:c>
      <x:c r="B40" s="180" t="str">
        <x:v>Corning Valor</x:v>
      </x:c>
      <x:c r="C40" s="180" t="str">
        <x:v>Vial Containment Solutions</x:v>
      </x:c>
      <x:c r="D40" s="180" t="str">
        <x:v>Vials</x:v>
      </x:c>
      <x:c r="E40" s="180" t="str">
        <x:v>Corning Valor 10R RTU Vials</x:v>
      </x:c>
      <x:c r="F40" s="205" t="str">
        <x:v>100012585</x:v>
      </x:c>
      <x:c r="G40" s="180" t="str">
        <x:v>10R</x:v>
      </x:c>
      <x:c r="H40" s="180" t="str"/>
      <x:c r="I40" s="180" t="str">
        <x:v>Glass</x:v>
      </x:c>
      <x:c r="J40" s="180" t="str">
        <x:v>RTU</x:v>
      </x:c>
      <x:c r="K40" s="180" t="str"/>
      <x:c r="L40" s="180" t="str"/>
      <x:c r="M40" s="180" t="str"/>
      <x:c r="N40" s="180" t="str"/>
      <x:c r="O40" s="180" t="str">
        <x:v>Global / availability varies</x:v>
      </x:c>
      <x:c r="P40" s="180" t="str">
        <x:v>Observed in public West online-store indexing; account availability may differ</x:v>
      </x:c>
      <x:c r="Q40" s="180" t="str">
        <x:v>Active</x:v>
      </x:c>
      <x:c r="R40" s="180" t="str">
        <x:v>High</x:v>
      </x:c>
      <x:c r="S40" s="180" t="str">
        <x:v>Public store SKU verified</x:v>
      </x:c>
      <x:c r="T40" s="180" t="str">
        <x:v>West Online Store indexed product page</x:v>
      </x:c>
      <x:c r="U40" s="180" t="str">
        <x:v>https://www.westpharma.com/online-store/all-products</x:v>
      </x:c>
      <x:c r="V40" s="180" t="n">
        <x:v>46224.942662037036</x:v>
      </x:c>
      <x:c r="W40" s="186" t="str">
        <x:v>Exact product-detail URL should be refreshed by the Playwright crawler; duplicate item-number rows are deduplicated by canonical SKU key. Public-source seed researched through 2026-07-21.</x:v>
      </x:c>
    </x:row>
    <x:row r="41">
      <x:c r="A41" s="185" t="str">
        <x:v>West Pharmaceutical Services, Inc.</x:v>
      </x:c>
      <x:c r="B41" s="180" t="str">
        <x:v>Corning Valor</x:v>
      </x:c>
      <x:c r="C41" s="180" t="str">
        <x:v>Vial Containment Solutions</x:v>
      </x:c>
      <x:c r="D41" s="180" t="str">
        <x:v>Vials</x:v>
      </x:c>
      <x:c r="E41" s="180" t="str">
        <x:v>Corning Valor 20R RTU Vials</x:v>
      </x:c>
      <x:c r="F41" s="205" t="str">
        <x:v>100012682</x:v>
      </x:c>
      <x:c r="G41" s="180" t="str">
        <x:v>20R</x:v>
      </x:c>
      <x:c r="H41" s="180" t="str"/>
      <x:c r="I41" s="180" t="str">
        <x:v>Glass</x:v>
      </x:c>
      <x:c r="J41" s="180" t="str">
        <x:v>RTU</x:v>
      </x:c>
      <x:c r="K41" s="180" t="str"/>
      <x:c r="L41" s="180" t="str"/>
      <x:c r="M41" s="180" t="str"/>
      <x:c r="N41" s="180" t="str"/>
      <x:c r="O41" s="180" t="str">
        <x:v>Global / availability varies</x:v>
      </x:c>
      <x:c r="P41" s="180" t="str">
        <x:v>Observed in public West online-store indexing; account availability may differ</x:v>
      </x:c>
      <x:c r="Q41" s="180" t="str">
        <x:v>Active</x:v>
      </x:c>
      <x:c r="R41" s="180" t="str">
        <x:v>High</x:v>
      </x:c>
      <x:c r="S41" s="180" t="str">
        <x:v>Public store SKU verified</x:v>
      </x:c>
      <x:c r="T41" s="180" t="str">
        <x:v>West Online Store indexed product page</x:v>
      </x:c>
      <x:c r="U41" s="180" t="str">
        <x:v>https://www.westpharma.com/online-store/all-products</x:v>
      </x:c>
      <x:c r="V41" s="180" t="n">
        <x:v>46224.942662037036</x:v>
      </x:c>
      <x:c r="W41" s="186" t="str">
        <x:v>Exact product-detail URL should be refreshed by the Playwright crawler; duplicate item-number rows are deduplicated by canonical SKU key. Public-source seed researched through 2026-07-21.</x:v>
      </x:c>
    </x:row>
    <x:row r="42">
      <x:c r="A42" s="185" t="str">
        <x:v>West Pharmaceutical Services, Inc.</x:v>
      </x:c>
      <x:c r="B42" s="180" t="str">
        <x:v>Corning Valor</x:v>
      </x:c>
      <x:c r="C42" s="180" t="str">
        <x:v>Vial Containment Solutions</x:v>
      </x:c>
      <x:c r="D42" s="180" t="str">
        <x:v>Vials</x:v>
      </x:c>
      <x:c r="E42" s="180" t="str">
        <x:v>Corning Valor 2R Bulk Vials Tray</x:v>
      </x:c>
      <x:c r="F42" s="205" t="str">
        <x:v>100012900</x:v>
      </x:c>
      <x:c r="G42" s="180" t="str">
        <x:v>2R</x:v>
      </x:c>
      <x:c r="H42" s="180" t="str"/>
      <x:c r="I42" s="180" t="str">
        <x:v>Glass</x:v>
      </x:c>
      <x:c r="J42" s="180" t="str">
        <x:v>Bulk</x:v>
      </x:c>
      <x:c r="K42" s="180" t="str"/>
      <x:c r="L42" s="180" t="str"/>
      <x:c r="M42" s="180" t="str"/>
      <x:c r="N42" s="180" t="str"/>
      <x:c r="O42" s="180" t="str">
        <x:v>Global / availability varies</x:v>
      </x:c>
      <x:c r="P42" s="180" t="str">
        <x:v>Observed in public West online-store indexing; account availability may differ</x:v>
      </x:c>
      <x:c r="Q42" s="180" t="str">
        <x:v>Active</x:v>
      </x:c>
      <x:c r="R42" s="180" t="str">
        <x:v>High</x:v>
      </x:c>
      <x:c r="S42" s="180" t="str">
        <x:v>Public store SKU verified</x:v>
      </x:c>
      <x:c r="T42" s="180" t="str">
        <x:v>West Online Store indexed product page</x:v>
      </x:c>
      <x:c r="U42" s="180" t="str">
        <x:v>https://www.westpharma.com/online-store/all-products</x:v>
      </x:c>
      <x:c r="V42" s="180" t="n">
        <x:v>46224.942662037036</x:v>
      </x:c>
      <x:c r="W42" s="186" t="str">
        <x:v>Exact product-detail URL should be refreshed by the Playwright crawler; duplicate item-number rows are deduplicated by canonical SKU key. Public-source seed researched through 2026-07-21.</x:v>
      </x:c>
    </x:row>
    <x:row r="43">
      <x:c r="A43" s="185" t="str">
        <x:v>West Pharmaceutical Services, Inc.</x:v>
      </x:c>
      <x:c r="B43" s="180" t="str">
        <x:v>Corning Valor</x:v>
      </x:c>
      <x:c r="C43" s="180" t="str">
        <x:v>Vial Containment Solutions</x:v>
      </x:c>
      <x:c r="D43" s="180" t="str">
        <x:v>Vials</x:v>
      </x:c>
      <x:c r="E43" s="180" t="str">
        <x:v>Corning Valor 2R RTU Vials Nest and Tub</x:v>
      </x:c>
      <x:c r="F43" s="205" t="str">
        <x:v>100013132</x:v>
      </x:c>
      <x:c r="G43" s="180" t="str">
        <x:v>2R</x:v>
      </x:c>
      <x:c r="H43" s="180" t="str"/>
      <x:c r="I43" s="180" t="str">
        <x:v>Glass</x:v>
      </x:c>
      <x:c r="J43" s="180" t="str">
        <x:v>RTU</x:v>
      </x:c>
      <x:c r="K43" s="180" t="str"/>
      <x:c r="L43" s="180" t="str"/>
      <x:c r="M43" s="180" t="str"/>
      <x:c r="N43" s="180" t="str"/>
      <x:c r="O43" s="180" t="str">
        <x:v>Global / availability varies</x:v>
      </x:c>
      <x:c r="P43" s="180" t="str">
        <x:v>Observed in public West online-store indexing; account availability may differ</x:v>
      </x:c>
      <x:c r="Q43" s="180" t="str">
        <x:v>Active</x:v>
      </x:c>
      <x:c r="R43" s="180" t="str">
        <x:v>High</x:v>
      </x:c>
      <x:c r="S43" s="180" t="str">
        <x:v>Public store SKU verified</x:v>
      </x:c>
      <x:c r="T43" s="180" t="str">
        <x:v>West Online Store indexed product page</x:v>
      </x:c>
      <x:c r="U43" s="180" t="str">
        <x:v>https://www.westpharma.com/online-store/all-products</x:v>
      </x:c>
      <x:c r="V43" s="180" t="n">
        <x:v>46224.942662037036</x:v>
      </x:c>
      <x:c r="W43" s="186" t="str">
        <x:v>Exact product-detail URL should be refreshed by the Playwright crawler; duplicate item-number rows are deduplicated by canonical SKU key. Public-source seed researched through 2026-07-21.</x:v>
      </x:c>
    </x:row>
    <x:row r="44">
      <x:c r="A44" s="185" t="str">
        <x:v>West Pharmaceutical Services, Inc.</x:v>
      </x:c>
      <x:c r="B44" s="180" t="str">
        <x:v>Corning Valor</x:v>
      </x:c>
      <x:c r="C44" s="180" t="str">
        <x:v>Vial Containment Solutions</x:v>
      </x:c>
      <x:c r="D44" s="180" t="str">
        <x:v>Vials</x:v>
      </x:c>
      <x:c r="E44" s="180" t="str">
        <x:v>Corning Valor 6R Bulk Vials Tray</x:v>
      </x:c>
      <x:c r="F44" s="205" t="str">
        <x:v>100012921</x:v>
      </x:c>
      <x:c r="G44" s="180" t="str">
        <x:v>6R</x:v>
      </x:c>
      <x:c r="H44" s="180" t="str"/>
      <x:c r="I44" s="180" t="str">
        <x:v>Glass</x:v>
      </x:c>
      <x:c r="J44" s="180" t="str">
        <x:v>Bulk</x:v>
      </x:c>
      <x:c r="K44" s="180" t="str"/>
      <x:c r="L44" s="180" t="str"/>
      <x:c r="M44" s="180" t="str"/>
      <x:c r="N44" s="180" t="str"/>
      <x:c r="O44" s="180" t="str">
        <x:v>Global / availability varies</x:v>
      </x:c>
      <x:c r="P44" s="180" t="str">
        <x:v>Observed in public West online-store indexing; account availability may differ</x:v>
      </x:c>
      <x:c r="Q44" s="180" t="str">
        <x:v>Active</x:v>
      </x:c>
      <x:c r="R44" s="180" t="str">
        <x:v>High</x:v>
      </x:c>
      <x:c r="S44" s="180" t="str">
        <x:v>Public store SKU verified</x:v>
      </x:c>
      <x:c r="T44" s="180" t="str">
        <x:v>West Online Store indexed product page</x:v>
      </x:c>
      <x:c r="U44" s="180" t="str">
        <x:v>https://www.westpharma.com/online-store/all-products</x:v>
      </x:c>
      <x:c r="V44" s="180" t="n">
        <x:v>46224.942662037036</x:v>
      </x:c>
      <x:c r="W44" s="186" t="str">
        <x:v>Exact product-detail URL should be refreshed by the Playwright crawler; duplicate item-number rows are deduplicated by canonical SKU key. Public-source seed researched through 2026-07-21.</x:v>
      </x:c>
    </x:row>
    <x:row r="45">
      <x:c r="A45" s="185" t="str">
        <x:v>West Pharmaceutical Services, Inc.</x:v>
      </x:c>
      <x:c r="B45" s="180" t="str">
        <x:v>Corning Valor</x:v>
      </x:c>
      <x:c r="C45" s="180" t="str">
        <x:v>Vial Containment Solutions</x:v>
      </x:c>
      <x:c r="D45" s="180" t="str">
        <x:v>Vials</x:v>
      </x:c>
      <x:c r="E45" s="180" t="str">
        <x:v>Corning Valor 6R RTU Vials</x:v>
      </x:c>
      <x:c r="F45" s="205" t="str">
        <x:v>100012583</x:v>
      </x:c>
      <x:c r="G45" s="180" t="str">
        <x:v>6R</x:v>
      </x:c>
      <x:c r="H45" s="180" t="str"/>
      <x:c r="I45" s="180" t="str">
        <x:v>Glass</x:v>
      </x:c>
      <x:c r="J45" s="180" t="str">
        <x:v>RTU</x:v>
      </x:c>
      <x:c r="K45" s="180" t="str"/>
      <x:c r="L45" s="180" t="str"/>
      <x:c r="M45" s="180" t="str"/>
      <x:c r="N45" s="180" t="str"/>
      <x:c r="O45" s="180" t="str">
        <x:v>Global / availability varies</x:v>
      </x:c>
      <x:c r="P45" s="180" t="str">
        <x:v>Observed in public West online-store indexing; account availability may differ</x:v>
      </x:c>
      <x:c r="Q45" s="180" t="str">
        <x:v>Active</x:v>
      </x:c>
      <x:c r="R45" s="180" t="str">
        <x:v>High</x:v>
      </x:c>
      <x:c r="S45" s="180" t="str">
        <x:v>Public store SKU verified</x:v>
      </x:c>
      <x:c r="T45" s="180" t="str">
        <x:v>West Online Store indexed product page</x:v>
      </x:c>
      <x:c r="U45" s="180" t="str">
        <x:v>https://www.westpharma.com/online-store/all-products</x:v>
      </x:c>
      <x:c r="V45" s="180" t="n">
        <x:v>46224.942662037036</x:v>
      </x:c>
      <x:c r="W45" s="186" t="str">
        <x:v>Exact product-detail URL should be refreshed by the Playwright crawler; duplicate item-number rows are deduplicated by canonical SKU key. Public-source seed researched through 2026-07-21.</x:v>
      </x:c>
    </x:row>
    <x:row r="46">
      <x:c r="A46" s="185" t="str">
        <x:v>West Pharmaceutical Services, Inc.</x:v>
      </x:c>
      <x:c r="B46" s="180" t="str">
        <x:v>Daikyo Crystal Zenith</x:v>
      </x:c>
      <x:c r="C46" s="180" t="str">
        <x:v>Vial Containment Solutions</x:v>
      </x:c>
      <x:c r="D46" s="180" t="str">
        <x:v>Vials</x:v>
      </x:c>
      <x:c r="E46" s="180" t="str">
        <x:v>Daikyo Crystal Zenith 5mL RTU Polymer Vial</x:v>
      </x:c>
      <x:c r="F46" s="205" t="str">
        <x:v>19550209</x:v>
      </x:c>
      <x:c r="G46" s="180" t="str">
        <x:v>5mL</x:v>
      </x:c>
      <x:c r="H46" s="180" t="str"/>
      <x:c r="I46" s="180" t="str">
        <x:v>Cyclic olefin polymer</x:v>
      </x:c>
      <x:c r="J46" s="180" t="str">
        <x:v>RTU</x:v>
      </x:c>
      <x:c r="K46" s="180" t="str"/>
      <x:c r="L46" s="180" t="str"/>
      <x:c r="M46" s="180" t="str"/>
      <x:c r="N46" s="180" t="str"/>
      <x:c r="O46" s="180" t="str">
        <x:v>Global / availability varies</x:v>
      </x:c>
      <x:c r="P46" s="180" t="str">
        <x:v>Observed in public West online-store indexing; account availability may differ</x:v>
      </x:c>
      <x:c r="Q46" s="180" t="str">
        <x:v>Active</x:v>
      </x:c>
      <x:c r="R46" s="180" t="str">
        <x:v>High</x:v>
      </x:c>
      <x:c r="S46" s="180" t="str">
        <x:v>Public store SKU verified</x:v>
      </x:c>
      <x:c r="T46" s="180" t="str">
        <x:v>West Online Store indexed product page</x:v>
      </x:c>
      <x:c r="U46" s="180" t="str">
        <x:v>https://www.westpharma.com/online-store/all-products</x:v>
      </x:c>
      <x:c r="V46" s="180" t="n">
        <x:v>46224.942662037036</x:v>
      </x:c>
      <x:c r="W46" s="186" t="str">
        <x:v>Exact product-detail URL should be refreshed by the Playwright crawler; duplicate item-number rows are deduplicated by canonical SKU key. Public-source seed researched through 2026-07-21.</x:v>
      </x:c>
    </x:row>
    <x:row r="47">
      <x:c r="A47" s="185" t="str">
        <x:v>West Pharmaceutical Services, Inc.</x:v>
      </x:c>
      <x:c r="B47" s="180" t="str">
        <x:v>Daikyo Crystal Zenith</x:v>
      </x:c>
      <x:c r="C47" s="180" t="str">
        <x:v>Vial Containment Solutions</x:v>
      </x:c>
      <x:c r="D47" s="180" t="str">
        <x:v>Vials</x:v>
      </x:c>
      <x:c r="E47" s="180" t="str">
        <x:v>Daikyo Crystal Zenith Copolymer Vial 2mL</x:v>
      </x:c>
      <x:c r="F47" s="205" t="str">
        <x:v>1955-0057</x:v>
      </x:c>
      <x:c r="G47" s="180" t="str">
        <x:v>2mL</x:v>
      </x:c>
      <x:c r="H47" s="180" t="str">
        <x:v>13mm closure</x:v>
      </x:c>
      <x:c r="I47" s="180" t="str">
        <x:v>Cyclic olefin polymer</x:v>
      </x:c>
      <x:c r="J47" s="180" t="str">
        <x:v>Ready-to-use sterilized</x:v>
      </x:c>
      <x:c r="K47" s="180" t="str"/>
      <x:c r="L47" s="180" t="str"/>
      <x:c r="M47" s="180" t="str">
        <x:v>Tray</x:v>
      </x:c>
      <x:c r="N47" s="180" t="str">
        <x:v>960 vials; 480/tray x 2</x:v>
      </x:c>
      <x:c r="O47" s="180" t="str">
        <x:v>Global / availability varies</x:v>
      </x:c>
      <x:c r="P47" s="180" t="str">
        <x:v>Publicly documented ready-to-use item</x:v>
      </x:c>
      <x:c r="Q47" s="180" t="str">
        <x:v>Active</x:v>
      </x:c>
      <x:c r="R47" s="180" t="str">
        <x:v>High</x:v>
      </x:c>
      <x:c r="S47" s="180" t="str">
        <x:v>Official PDF SKU verified</x:v>
      </x:c>
      <x:c r="T47" s="180" t="str">
        <x:v>West compounding pharmacy information sheet</x:v>
      </x:c>
      <x:c r="U47" s="180" t="str">
        <x:v>https://westpharma.com/-/media/WestPharma/Files/Products/Compounding-Pharmacy-information-sheet.pdf</x:v>
      </x:c>
      <x:c r="V47" s="180" t="n">
        <x:v>46224.942662037036</x:v>
      </x:c>
      <x:c r="W47" s="186" t="str">
        <x:v>Public-source seed researched through 2026-07-21.</x:v>
      </x:c>
    </x:row>
    <x:row r="48">
      <x:c r="A48" s="185" t="str">
        <x:v>West Pharmaceutical Services, Inc.</x:v>
      </x:c>
      <x:c r="B48" s="180" t="str">
        <x:v>Daikyo Crystal Zenith</x:v>
      </x:c>
      <x:c r="C48" s="180" t="str">
        <x:v>Vial Containment Solutions</x:v>
      </x:c>
      <x:c r="D48" s="180" t="str">
        <x:v>Vials</x:v>
      </x:c>
      <x:c r="E48" s="180" t="str">
        <x:v>Daikyo Crystal Zenith Copolymer Vial 5mL</x:v>
      </x:c>
      <x:c r="F48" s="205" t="str">
        <x:v>1955-0207</x:v>
      </x:c>
      <x:c r="G48" s="180" t="str">
        <x:v>5mL</x:v>
      </x:c>
      <x:c r="H48" s="180" t="str">
        <x:v>20mm closure</x:v>
      </x:c>
      <x:c r="I48" s="180" t="str">
        <x:v>Cyclic olefin polymer</x:v>
      </x:c>
      <x:c r="J48" s="180" t="str">
        <x:v>Ready-to-use sterilized</x:v>
      </x:c>
      <x:c r="K48" s="180" t="str"/>
      <x:c r="L48" s="180" t="str"/>
      <x:c r="M48" s="180" t="str">
        <x:v>Tray</x:v>
      </x:c>
      <x:c r="N48" s="180" t="str">
        <x:v>448 vials; 224/tray x 2</x:v>
      </x:c>
      <x:c r="O48" s="180" t="str">
        <x:v>Global / availability varies</x:v>
      </x:c>
      <x:c r="P48" s="180" t="str">
        <x:v>Publicly documented ready-to-use item</x:v>
      </x:c>
      <x:c r="Q48" s="180" t="str">
        <x:v>Active</x:v>
      </x:c>
      <x:c r="R48" s="180" t="str">
        <x:v>High</x:v>
      </x:c>
      <x:c r="S48" s="180" t="str">
        <x:v>Official PDF SKU verified</x:v>
      </x:c>
      <x:c r="T48" s="180" t="str">
        <x:v>West compounding pharmacy information sheet</x:v>
      </x:c>
      <x:c r="U48" s="180" t="str">
        <x:v>https://westpharma.com/-/media/WestPharma/Files/Products/Compounding-Pharmacy-information-sheet.pdf</x:v>
      </x:c>
      <x:c r="V48" s="180" t="n">
        <x:v>46224.942662037036</x:v>
      </x:c>
      <x:c r="W48" s="186" t="str">
        <x:v>Public-source seed researched through 2026-07-21.</x:v>
      </x:c>
    </x:row>
    <x:row r="49">
      <x:c r="A49" s="185" t="str">
        <x:v>West Pharmaceutical Services, Inc.</x:v>
      </x:c>
      <x:c r="B49" s="180" t="str">
        <x:v>SCHOTT adaptiQ</x:v>
      </x:c>
      <x:c r="C49" s="180" t="str">
        <x:v>Vial Containment Solutions</x:v>
      </x:c>
      <x:c r="D49" s="180" t="str">
        <x:v>Vials</x:v>
      </x:c>
      <x:c r="E49" s="180" t="str">
        <x:v>SCHOTT adaptiQ 10R RTU Vials Cup Nest</x:v>
      </x:c>
      <x:c r="F49" s="205" t="str">
        <x:v>100012999</x:v>
      </x:c>
      <x:c r="G49" s="180" t="str">
        <x:v>10R</x:v>
      </x:c>
      <x:c r="H49" s="180" t="str"/>
      <x:c r="I49" s="180" t="str">
        <x:v>Glass</x:v>
      </x:c>
      <x:c r="J49" s="180" t="str">
        <x:v>RTU</x:v>
      </x:c>
      <x:c r="K49" s="180" t="str"/>
      <x:c r="L49" s="180" t="str"/>
      <x:c r="M49" s="180" t="str"/>
      <x:c r="N49" s="180" t="str"/>
      <x:c r="O49" s="180" t="str">
        <x:v>Global / availability varies</x:v>
      </x:c>
      <x:c r="P49" s="180" t="str">
        <x:v>Observed in public West online-store indexing; account availability may differ</x:v>
      </x:c>
      <x:c r="Q49" s="180" t="str">
        <x:v>Active</x:v>
      </x:c>
      <x:c r="R49" s="180" t="str">
        <x:v>High</x:v>
      </x:c>
      <x:c r="S49" s="180" t="str">
        <x:v>Public store SKU verified</x:v>
      </x:c>
      <x:c r="T49" s="180" t="str">
        <x:v>West Online Store indexed product page</x:v>
      </x:c>
      <x:c r="U49" s="180" t="str">
        <x:v>https://www.westpharma.com/online-store/all-products</x:v>
      </x:c>
      <x:c r="V49" s="180" t="n">
        <x:v>46224.942662037036</x:v>
      </x:c>
      <x:c r="W49" s="186" t="str">
        <x:v>Exact product-detail URL should be refreshed by the Playwright crawler; duplicate item-number rows are deduplicated by canonical SKU key. Public-source seed researched through 2026-07-21.</x:v>
      </x:c>
    </x:row>
    <x:row r="50">
      <x:c r="A50" s="185" t="str">
        <x:v>West Pharmaceutical Services, Inc.</x:v>
      </x:c>
      <x:c r="B50" s="180" t="str">
        <x:v>SCHOTT adaptiQ</x:v>
      </x:c>
      <x:c r="C50" s="180" t="str">
        <x:v>Vial Containment Solutions</x:v>
      </x:c>
      <x:c r="D50" s="180" t="str">
        <x:v>Vials</x:v>
      </x:c>
      <x:c r="E50" s="180" t="str">
        <x:v>SCHOTT adaptiQ 2R RTU Vials Tray</x:v>
      </x:c>
      <x:c r="F50" s="205" t="str">
        <x:v>100013101</x:v>
      </x:c>
      <x:c r="G50" s="180" t="str">
        <x:v>2R</x:v>
      </x:c>
      <x:c r="H50" s="180" t="str"/>
      <x:c r="I50" s="180" t="str">
        <x:v>Glass</x:v>
      </x:c>
      <x:c r="J50" s="180" t="str">
        <x:v>RTU</x:v>
      </x:c>
      <x:c r="K50" s="180" t="str"/>
      <x:c r="L50" s="180" t="str"/>
      <x:c r="M50" s="180" t="str"/>
      <x:c r="N50" s="180" t="str"/>
      <x:c r="O50" s="180" t="str">
        <x:v>Global / availability varies</x:v>
      </x:c>
      <x:c r="P50" s="180" t="str">
        <x:v>Observed in public West online-store indexing; account availability may differ</x:v>
      </x:c>
      <x:c r="Q50" s="180" t="str">
        <x:v>Active</x:v>
      </x:c>
      <x:c r="R50" s="180" t="str">
        <x:v>High</x:v>
      </x:c>
      <x:c r="S50" s="180" t="str">
        <x:v>Public store SKU verified</x:v>
      </x:c>
      <x:c r="T50" s="180" t="str">
        <x:v>West Online Store indexed product page</x:v>
      </x:c>
      <x:c r="U50" s="180" t="str">
        <x:v>https://www.westpharma.com/online-store/all-products</x:v>
      </x:c>
      <x:c r="V50" s="180" t="n">
        <x:v>46224.942662037036</x:v>
      </x:c>
      <x:c r="W50" s="186" t="str">
        <x:v>Exact product-detail URL should be refreshed by the Playwright crawler; duplicate item-number rows are deduplicated by canonical SKU key. Public-source seed researched through 2026-07-21.</x:v>
      </x:c>
    </x:row>
    <x:row r="51">
      <x:c r="A51" s="185" t="str">
        <x:v>West Pharmaceutical Services, Inc.</x:v>
      </x:c>
      <x:c r="B51" s="180" t="str">
        <x:v>SCHOTT adaptiQ</x:v>
      </x:c>
      <x:c r="C51" s="180" t="str">
        <x:v>Vial Containment Solutions</x:v>
      </x:c>
      <x:c r="D51" s="180" t="str">
        <x:v>Vials</x:v>
      </x:c>
      <x:c r="E51" s="180" t="str">
        <x:v>SCHOTT adaptiQ 6R RTU Vials Tray</x:v>
      </x:c>
      <x:c r="F51" s="205" t="str">
        <x:v>100013103</x:v>
      </x:c>
      <x:c r="G51" s="180" t="str">
        <x:v>6R</x:v>
      </x:c>
      <x:c r="H51" s="180" t="str"/>
      <x:c r="I51" s="180" t="str">
        <x:v>Glass</x:v>
      </x:c>
      <x:c r="J51" s="180" t="str">
        <x:v>RTU</x:v>
      </x:c>
      <x:c r="K51" s="180" t="str"/>
      <x:c r="L51" s="180" t="str"/>
      <x:c r="M51" s="180" t="str"/>
      <x:c r="N51" s="180" t="str"/>
      <x:c r="O51" s="180" t="str">
        <x:v>Global / availability varies</x:v>
      </x:c>
      <x:c r="P51" s="180" t="str">
        <x:v>Observed in public West online-store indexing; account availability may differ</x:v>
      </x:c>
      <x:c r="Q51" s="180" t="str">
        <x:v>Active</x:v>
      </x:c>
      <x:c r="R51" s="180" t="str">
        <x:v>High</x:v>
      </x:c>
      <x:c r="S51" s="180" t="str">
        <x:v>Public store SKU verified</x:v>
      </x:c>
      <x:c r="T51" s="180" t="str">
        <x:v>West Online Store indexed product page</x:v>
      </x:c>
      <x:c r="U51" s="180" t="str">
        <x:v>https://www.westpharma.com/online-store/all-products</x:v>
      </x:c>
      <x:c r="V51" s="180" t="n">
        <x:v>46224.942662037036</x:v>
      </x:c>
      <x:c r="W51" s="186" t="str">
        <x:v>Exact product-detail URL should be refreshed by the Playwright crawler; duplicate item-number rows are deduplicated by canonical SKU key. Public-source seed researched through 2026-07-21.</x:v>
      </x:c>
    </x:row>
    <x:row r="52">
      <x:c r="A52" s="185" t="str">
        <x:v>West Pharmaceutical Services, Inc.</x:v>
      </x:c>
      <x:c r="B52" s="180" t="str">
        <x:v>SG EZ-fill</x:v>
      </x:c>
      <x:c r="C52" s="180" t="str">
        <x:v>Vial Containment Solutions</x:v>
      </x:c>
      <x:c r="D52" s="180" t="str">
        <x:v>Vials</x:v>
      </x:c>
      <x:c r="E52" s="180" t="str">
        <x:v>SG EZ-fill Sterile Glass Vial 10mL</x:v>
      </x:c>
      <x:c r="F52" s="205" t="str">
        <x:v>6800-0399</x:v>
      </x:c>
      <x:c r="G52" s="180" t="str">
        <x:v>10mL</x:v>
      </x:c>
      <x:c r="H52" s="180" t="str">
        <x:v>20mm closure</x:v>
      </x:c>
      <x:c r="I52" s="180" t="str">
        <x:v>Glass</x:v>
      </x:c>
      <x:c r="J52" s="180" t="str">
        <x:v>Clean, sterilized, depyrogenated</x:v>
      </x:c>
      <x:c r="K52" s="180" t="str"/>
      <x:c r="L52" s="180" t="str"/>
      <x:c r="M52" s="180" t="str">
        <x:v>Tray</x:v>
      </x:c>
      <x:c r="N52" s="180" t="str">
        <x:v>960 vials; 96/tray x 10</x:v>
      </x:c>
      <x:c r="O52" s="180" t="str">
        <x:v>Global / availability varies</x:v>
      </x:c>
      <x:c r="P52" s="180" t="str">
        <x:v>Publicly documented ready-to-use item</x:v>
      </x:c>
      <x:c r="Q52" s="180" t="str">
        <x:v>Active</x:v>
      </x:c>
      <x:c r="R52" s="180" t="str">
        <x:v>High</x:v>
      </x:c>
      <x:c r="S52" s="180" t="str">
        <x:v>Official PDF SKU verified</x:v>
      </x:c>
      <x:c r="T52" s="180" t="str">
        <x:v>West compounding pharmacy information sheet</x:v>
      </x:c>
      <x:c r="U52" s="180" t="str">
        <x:v>https://westpharma.com/-/media/WestPharma/Files/Products/Compounding-Pharmacy-information-sheet.pdf</x:v>
      </x:c>
      <x:c r="V52" s="180" t="n">
        <x:v>46224.942662037036</x:v>
      </x:c>
      <x:c r="W52" s="186" t="str">
        <x:v>Public-source seed researched through 2026-07-21.</x:v>
      </x:c>
    </x:row>
    <x:row r="53">
      <x:c r="A53" s="185" t="str">
        <x:v>West Pharmaceutical Services, Inc.</x:v>
      </x:c>
      <x:c r="B53" s="180" t="str">
        <x:v>SG EZ-fill</x:v>
      </x:c>
      <x:c r="C53" s="180" t="str">
        <x:v>Vial Containment Solutions</x:v>
      </x:c>
      <x:c r="D53" s="180" t="str">
        <x:v>Vials</x:v>
      </x:c>
      <x:c r="E53" s="180" t="str">
        <x:v>SG EZ-fill Sterile Glass Vial 3mL</x:v>
      </x:c>
      <x:c r="F53" s="205" t="str">
        <x:v>6800-0397</x:v>
      </x:c>
      <x:c r="G53" s="180" t="str">
        <x:v>3mL</x:v>
      </x:c>
      <x:c r="H53" s="180" t="str">
        <x:v>13mm closure</x:v>
      </x:c>
      <x:c r="I53" s="180" t="str">
        <x:v>Glass</x:v>
      </x:c>
      <x:c r="J53" s="180" t="str">
        <x:v>Clean, sterilized, depyrogenated</x:v>
      </x:c>
      <x:c r="K53" s="180" t="str"/>
      <x:c r="L53" s="180" t="str"/>
      <x:c r="M53" s="180" t="str">
        <x:v>Tray</x:v>
      </x:c>
      <x:c r="N53" s="180" t="str">
        <x:v>2,280 vials; 228/tray x 10</x:v>
      </x:c>
      <x:c r="O53" s="180" t="str">
        <x:v>Global / availability varies</x:v>
      </x:c>
      <x:c r="P53" s="180" t="str">
        <x:v>Publicly documented ready-to-use item</x:v>
      </x:c>
      <x:c r="Q53" s="180" t="str">
        <x:v>Active</x:v>
      </x:c>
      <x:c r="R53" s="180" t="str">
        <x:v>High</x:v>
      </x:c>
      <x:c r="S53" s="180" t="str">
        <x:v>Official PDF SKU verified</x:v>
      </x:c>
      <x:c r="T53" s="180" t="str">
        <x:v>West compounding pharmacy information sheet</x:v>
      </x:c>
      <x:c r="U53" s="180" t="str">
        <x:v>https://westpharma.com/-/media/WestPharma/Files/Products/Compounding-Pharmacy-information-sheet.pdf</x:v>
      </x:c>
      <x:c r="V53" s="180" t="n">
        <x:v>46224.942662037036</x:v>
      </x:c>
      <x:c r="W53" s="186" t="str">
        <x:v>Public-source seed researched through 2026-07-21.</x:v>
      </x:c>
    </x:row>
    <x:row r="54">
      <x:c r="A54" s="187" t="str">
        <x:v>West Pharmaceutical Services, Inc.</x:v>
      </x:c>
      <x:c r="B54" s="188" t="str">
        <x:v>SG EZ-fill</x:v>
      </x:c>
      <x:c r="C54" s="188" t="str">
        <x:v>Vial Containment Solutions</x:v>
      </x:c>
      <x:c r="D54" s="188" t="str">
        <x:v>Vials</x:v>
      </x:c>
      <x:c r="E54" s="188" t="str">
        <x:v>SG EZ-fill Sterile Glass Vial 8mL</x:v>
      </x:c>
      <x:c r="F54" s="206" t="str">
        <x:v>6800-0398</x:v>
      </x:c>
      <x:c r="G54" s="188" t="str">
        <x:v>8mL</x:v>
      </x:c>
      <x:c r="H54" s="188" t="str">
        <x:v>20mm closure</x:v>
      </x:c>
      <x:c r="I54" s="188" t="str">
        <x:v>Glass</x:v>
      </x:c>
      <x:c r="J54" s="188" t="str">
        <x:v>Clean, sterilized, depyrogenated</x:v>
      </x:c>
      <x:c r="K54" s="188" t="str"/>
      <x:c r="L54" s="188" t="str"/>
      <x:c r="M54" s="188" t="str">
        <x:v>Tray</x:v>
      </x:c>
      <x:c r="N54" s="188" t="str">
        <x:v>960 vials; 96/tray x 10</x:v>
      </x:c>
      <x:c r="O54" s="188" t="str">
        <x:v>Global / availability varies</x:v>
      </x:c>
      <x:c r="P54" s="188" t="str">
        <x:v>Publicly documented ready-to-use item</x:v>
      </x:c>
      <x:c r="Q54" s="188" t="str">
        <x:v>Active</x:v>
      </x:c>
      <x:c r="R54" s="188" t="str">
        <x:v>High</x:v>
      </x:c>
      <x:c r="S54" s="188" t="str">
        <x:v>Official PDF SKU verified</x:v>
      </x:c>
      <x:c r="T54" s="188" t="str">
        <x:v>West compounding pharmacy information sheet</x:v>
      </x:c>
      <x:c r="U54" s="188" t="str">
        <x:v>https://westpharma.com/-/media/WestPharma/Files/Products/Compounding-Pharmacy-information-sheet.pdf</x:v>
      </x:c>
      <x:c r="V54" s="188" t="n">
        <x:v>46224.942662037036</x:v>
      </x:c>
      <x:c r="W54" s="189" t="str">
        <x:v>Public-source seed researched through 2026-07-21.</x:v>
      </x:c>
    </x:row>
  </x:sheetData>
  <x:mergeCells>
    <x:mergeCell ref="A1:W1"/>
    <x:mergeCell ref="A2:W2"/>
  </x:mergeCells>
  <x:pageMargins left="0.7" right="0.7" top="0.75" bottom="0.75" header="0.3" footer="0.3"/>
  <x:tableParts count="1">
    <x:tablePart xmlns:r="http://schemas.openxmlformats.org/officeDocument/2006/relationships" r:id="R8db4622aa19e467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20" hidden="0" customWidth="1"/>
    <x:col min="4" max="4" width="28" hidden="0" customWidth="1"/>
    <x:col min="5" max="5" width="28" hidden="0" customWidth="1"/>
    <x:col min="6" max="6" width="48" hidden="0" customWidth="1"/>
    <x:col min="7" max="7" width="20" hidden="0" customWidth="1"/>
    <x:col min="8" max="8" width="25" hidden="0" customWidth="1"/>
    <x:col min="9" max="9" width="26" hidden="0" customWidth="1"/>
    <x:col min="10" max="10" width="24" hidden="0" customWidth="1"/>
    <x:col min="11" max="11" width="24" hidden="0" customWidth="1"/>
    <x:col min="12" max="12" width="24" hidden="0" customWidth="1"/>
    <x:col min="13" max="13" width="42" hidden="0" customWidth="1"/>
    <x:col min="14" max="14" width="50" hidden="0" customWidth="1"/>
  </x:cols>
  <x:sheetData>
    <x:row r="1" ht="30" customHeight="1">
      <x:c r="A1" s="222" t="str">
        <x:v>Product Families and Public Configurations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8" customHeight="1">
      <x:c r="A2" s="13" t="str">
        <x:v>Family/configuration-level inventory. These rows identify product lines but should not be counted as complete SKU coverage.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>
      <x:c r="A4" s="121" t="str">
        <x:v>Entity</x:v>
      </x:c>
      <x:c r="B4" s="121" t="str">
        <x:v>Relationship</x:v>
      </x:c>
      <x:c r="C4" s="121" t="str">
        <x:v>Brand</x:v>
      </x:c>
      <x:c r="D4" s="121" t="str">
        <x:v>Category</x:v>
      </x:c>
      <x:c r="E4" s="121" t="str">
        <x:v>Subcategory</x:v>
      </x:c>
      <x:c r="F4" s="121" t="str">
        <x:v>Product Name</x:v>
      </x:c>
      <x:c r="G4" s="121" t="str">
        <x:v>Product Level</x:v>
      </x:c>
      <x:c r="H4" s="121" t="str">
        <x:v>Size / Range</x:v>
      </x:c>
      <x:c r="I4" s="121" t="str">
        <x:v>Processing</x:v>
      </x:c>
      <x:c r="J4" s="121" t="str">
        <x:v>Coating / Film</x:v>
      </x:c>
      <x:c r="K4" s="121" t="str">
        <x:v>Inspection</x:v>
      </x:c>
      <x:c r="L4" s="121" t="str">
        <x:v>Current Status</x:v>
      </x:c>
      <x:c r="M4" s="121" t="str">
        <x:v>Coverage Status</x:v>
      </x:c>
      <x:c r="N4" s="121" t="str">
        <x:v>Source URL</x:v>
      </x:c>
    </x:row>
    <x:row r="5">
      <x:c r="A5" s="182" t="str">
        <x:v>West Pharmaceutical Services, Inc.</x:v>
      </x:c>
      <x:c r="B5" s="183" t="str">
        <x:v>Parent / consolidated</x:v>
      </x:c>
      <x:c r="C5" s="183" t="str">
        <x:v>FluroTec</x:v>
      </x:c>
      <x:c r="D5" s="183" t="str">
        <x:v>Cartridge Components</x:v>
      </x:c>
      <x:c r="E5" s="183" t="str">
        <x:v>Plungers and seals</x:v>
      </x:c>
      <x:c r="F5" s="183" t="str">
        <x:v>FluroTec Cartridge Plungers</x:v>
      </x:c>
      <x:c r="G5" s="183" t="str">
        <x:v>Family</x:v>
      </x:c>
      <x:c r="H5" s="183" t="str">
        <x:v>5-10mL / large-volume cartridge applications</x:v>
      </x:c>
      <x:c r="I5" s="183" t="str">
        <x:v>Configuration dependent</x:v>
      </x:c>
      <x:c r="J5" s="183" t="str">
        <x:v>FluroTec barrier film</x:v>
      </x:c>
      <x:c r="K5" s="183" t="str"/>
      <x:c r="L5" s="183" t="str">
        <x:v>Active</x:v>
      </x:c>
      <x:c r="M5" s="183" t="str">
        <x:v>Public family verified</x:v>
      </x:c>
      <x:c r="N5" s="184" t="str">
        <x:v>https://www.westpharma.com/products/cartridge-components/flurotec-cartridge-plungers</x:v>
      </x:c>
    </x:row>
    <x:row r="6">
      <x:c r="A6" s="185" t="str">
        <x:v>West Pharmaceutical Services, Inc.</x:v>
      </x:c>
      <x:c r="B6" s="180" t="str">
        <x:v>Parent / consolidated</x:v>
      </x:c>
      <x:c r="C6" s="180" t="str">
        <x:v>NovaPure</x:v>
      </x:c>
      <x:c r="D6" s="180" t="str">
        <x:v>Cartridge Components</x:v>
      </x:c>
      <x:c r="E6" s="180" t="str">
        <x:v>Plungers and seals</x:v>
      </x:c>
      <x:c r="F6" s="180" t="str">
        <x:v>NovaPure Cartridge Components</x:v>
      </x:c>
      <x:c r="G6" s="180" t="str">
        <x:v>Family</x:v>
      </x:c>
      <x:c r="H6" s="180" t="str">
        <x:v>3mL glass cartridge platform</x:v>
      </x:c>
      <x:c r="I6" s="180" t="str">
        <x:v>Ready-to-use options</x:v>
      </x:c>
      <x:c r="J6" s="180" t="str">
        <x:v>FluroTec / design dependent</x:v>
      </x:c>
      <x:c r="K6" s="180" t="str"/>
      <x:c r="L6" s="180" t="str">
        <x:v>Active</x:v>
      </x:c>
      <x:c r="M6" s="180" t="str">
        <x:v>Public family verified</x:v>
      </x:c>
      <x:c r="N6" s="186" t="str">
        <x:v>https://www.westpharma.com/products/cartridge-components/novapure-glass-3ml-cartridge-component</x:v>
      </x:c>
    </x:row>
    <x:row r="7">
      <x:c r="A7" s="185" t="str">
        <x:v>West Pharmaceutical Services, Inc.</x:v>
      </x:c>
      <x:c r="B7" s="180" t="str">
        <x:v>Parent / consolidated</x:v>
      </x:c>
      <x:c r="C7" s="180" t="str">
        <x:v>Westar</x:v>
      </x:c>
      <x:c r="D7" s="180" t="str">
        <x:v>Cartridge Components</x:v>
      </x:c>
      <x:c r="E7" s="180" t="str">
        <x:v>Plungers and seals</x:v>
      </x:c>
      <x:c r="F7" s="180" t="str">
        <x:v>Westar RU and RS Cartridge Plungers</x:v>
      </x:c>
      <x:c r="G7" s="180" t="str">
        <x:v>Family</x:v>
      </x:c>
      <x:c r="H7" s="180" t="str">
        <x:v>Multiple configurations</x:v>
      </x:c>
      <x:c r="I7" s="180" t="str">
        <x:v>Ready-to-use and ready-to-sterilize</x:v>
      </x:c>
      <x:c r="J7" s="180" t="str">
        <x:v>Varies</x:v>
      </x:c>
      <x:c r="K7" s="180" t="str"/>
      <x:c r="L7" s="180" t="str">
        <x:v>Active</x:v>
      </x:c>
      <x:c r="M7" s="180" t="str">
        <x:v>Public family verified</x:v>
      </x:c>
      <x:c r="N7" s="186" t="str">
        <x:v>https://www.westpharma.com/products/cartridge-components/westar-ru-rs-cartridge-plungers</x:v>
      </x:c>
    </x:row>
    <x:row r="8">
      <x:c r="A8" s="185" t="str">
        <x:v>West Pharmaceutical Services, Inc.</x:v>
      </x:c>
      <x:c r="B8" s="180" t="str">
        <x:v>Parent / consolidated</x:v>
      </x:c>
      <x:c r="C8" s="180" t="str">
        <x:v>Westar</x:v>
      </x:c>
      <x:c r="D8" s="180" t="str">
        <x:v>Cartridge Components</x:v>
      </x:c>
      <x:c r="E8" s="180" t="str">
        <x:v>Plungers and seals</x:v>
      </x:c>
      <x:c r="F8" s="180" t="str">
        <x:v>Westar RU and RS Lined Cartridge Seals</x:v>
      </x:c>
      <x:c r="G8" s="180" t="str">
        <x:v>Family</x:v>
      </x:c>
      <x:c r="H8" s="180" t="str">
        <x:v>Single-dose and multi-dose applications</x:v>
      </x:c>
      <x:c r="I8" s="180" t="str">
        <x:v>Ready-to-use and ready-to-sterilize</x:v>
      </x:c>
      <x:c r="J8" s="180" t="str">
        <x:v>Bilayer laminate</x:v>
      </x:c>
      <x:c r="K8" s="180" t="str"/>
      <x:c r="L8" s="180" t="str">
        <x:v>Active</x:v>
      </x:c>
      <x:c r="M8" s="180" t="str">
        <x:v>Public family verified</x:v>
      </x:c>
      <x:c r="N8" s="186" t="str">
        <x:v>https://www.westpharma.com/products/cartridge-components/westar-ready-to-use-sterilize-lined-seals-caps</x:v>
      </x:c>
    </x:row>
    <x:row r="9">
      <x:c r="A9" s="185" t="str">
        <x:v>West Pharmaceutical Services, Inc.</x:v>
      </x:c>
      <x:c r="B9" s="180" t="str">
        <x:v>Parent / consolidated</x:v>
      </x:c>
      <x:c r="C9" s="180" t="str">
        <x:v>Westar Select</x:v>
      </x:c>
      <x:c r="D9" s="180" t="str">
        <x:v>Cartridge Components</x:v>
      </x:c>
      <x:c r="E9" s="180" t="str">
        <x:v>Plungers and seals</x:v>
      </x:c>
      <x:c r="F9" s="180" t="str">
        <x:v>Westar Select Cartridge Plungers</x:v>
      </x:c>
      <x:c r="G9" s="180" t="str">
        <x:v>Family</x:v>
      </x:c>
      <x:c r="H9" s="180" t="str">
        <x:v>Multiple configurations</x:v>
      </x:c>
      <x:c r="I9" s="180" t="str">
        <x:v>RTS and RTU</x:v>
      </x:c>
      <x:c r="J9" s="180" t="str">
        <x:v>Varies</x:v>
      </x:c>
      <x:c r="K9" s="180" t="str"/>
      <x:c r="L9" s="180" t="str">
        <x:v>Active</x:v>
      </x:c>
      <x:c r="M9" s="180" t="str">
        <x:v>Public family verified</x:v>
      </x:c>
      <x:c r="N9" s="186" t="str">
        <x:v>https://www.westpharma.com/products/cartridge-components/westar-select-cartridge-plungers</x:v>
      </x:c>
    </x:row>
    <x:row r="10">
      <x:c r="A10" s="185" t="str">
        <x:v>Daikyo Seiko, Ltd.</x:v>
      </x:c>
      <x:c r="B10" s="180" t="str">
        <x:v>49%-owned affiliate; selected technology licensed/distributed by West</x:v>
      </x:c>
      <x:c r="C10" s="180" t="str">
        <x:v>Daikyo</x:v>
      </x:c>
      <x:c r="D10" s="180" t="str">
        <x:v>Daikyo Affiliate Products</x:v>
      </x:c>
      <x:c r="E10" s="180" t="str">
        <x:v>Packages for vial formulations</x:v>
      </x:c>
      <x:c r="F10" s="180" t="str">
        <x:v>Daikyo Crystal Zenith Vials</x:v>
      </x:c>
      <x:c r="G10" s="180" t="str">
        <x:v>Family</x:v>
      </x:c>
      <x:c r="H10" s="180" t="str">
        <x:v>Wide range</x:v>
      </x:c>
      <x:c r="I10" s="180" t="str">
        <x:v>Electron-beam or autoclave sterilized options</x:v>
      </x:c>
      <x:c r="J10" s="180" t="str"/>
      <x:c r="K10" s="180" t="str"/>
      <x:c r="L10" s="180" t="str">
        <x:v>Active</x:v>
      </x:c>
      <x:c r="M10" s="180" t="str">
        <x:v>Affiliate public family/configuration verified</x:v>
      </x:c>
      <x:c r="N10" s="186" t="str">
        <x:v>https://www.daikyoseiko.jp/en/product/cz/</x:v>
      </x:c>
    </x:row>
    <x:row r="11">
      <x:c r="A11" s="185" t="str">
        <x:v>Daikyo Seiko, Ltd.</x:v>
      </x:c>
      <x:c r="B11" s="180" t="str">
        <x:v>49%-owned affiliate; selected technology licensed/distributed by West</x:v>
      </x:c>
      <x:c r="C11" s="180" t="str">
        <x:v>Daikyo</x:v>
      </x:c>
      <x:c r="D11" s="180" t="str">
        <x:v>Daikyo Affiliate Products</x:v>
      </x:c>
      <x:c r="E11" s="180" t="str">
        <x:v>Packages for vial formulations</x:v>
      </x:c>
      <x:c r="F11" s="180" t="str">
        <x:v>Daikyo Laminated Rubber Stoppers</x:v>
      </x:c>
      <x:c r="G11" s="180" t="str">
        <x:v>Family</x:v>
      </x:c>
      <x:c r="H11" s="180" t="str">
        <x:v>Wide range; liquid, powder, lyo and infusion</x:v>
      </x:c>
      <x:c r="I11" s="180" t="str">
        <x:v>RSV final-rinsed and RUV steam-sterilized options</x:v>
      </x:c>
      <x:c r="J11" s="180" t="str"/>
      <x:c r="K11" s="180" t="str"/>
      <x:c r="L11" s="180" t="str">
        <x:v>Active</x:v>
      </x:c>
      <x:c r="M11" s="180" t="str">
        <x:v>Affiliate public family/configuration verified</x:v>
      </x:c>
      <x:c r="N11" s="186" t="str">
        <x:v>https://www.daikyoseiko.jp/en/product/rubber/</x:v>
      </x:c>
    </x:row>
    <x:row r="12">
      <x:c r="A12" s="185" t="str">
        <x:v>Daikyo Seiko, Ltd.</x:v>
      </x:c>
      <x:c r="B12" s="180" t="str">
        <x:v>49%-owned affiliate; selected technology licensed/distributed by West</x:v>
      </x:c>
      <x:c r="C12" s="180" t="str">
        <x:v>Daikyo</x:v>
      </x:c>
      <x:c r="D12" s="180" t="str">
        <x:v>Daikyo Affiliate Products</x:v>
      </x:c>
      <x:c r="E12" s="180" t="str">
        <x:v>Packages for vial formulations</x:v>
      </x:c>
      <x:c r="F12" s="180" t="str">
        <x:v>Daikyo PLASCAP</x:v>
      </x:c>
      <x:c r="G12" s="180" t="str">
        <x:v>Family</x:v>
      </x:c>
      <x:c r="H12" s="180" t="str">
        <x:v>Custom stopper/closure fit</x:v>
      </x:c>
      <x:c r="I12" s="180" t="str">
        <x:v>Electron-beam sterilized</x:v>
      </x:c>
      <x:c r="J12" s="180" t="str"/>
      <x:c r="K12" s="180" t="str"/>
      <x:c r="L12" s="180" t="str">
        <x:v>Active</x:v>
      </x:c>
      <x:c r="M12" s="180" t="str">
        <x:v>Affiliate public family/configuration verified</x:v>
      </x:c>
      <x:c r="N12" s="186" t="str">
        <x:v>https://www.daikyoseiko.jp/en/product/plascap/</x:v>
      </x:c>
    </x:row>
    <x:row r="13">
      <x:c r="A13" s="185" t="str">
        <x:v>Daikyo Seiko, Ltd.</x:v>
      </x:c>
      <x:c r="B13" s="180" t="str">
        <x:v>49%-owned affiliate; selected technology licensed/distributed by West</x:v>
      </x:c>
      <x:c r="C13" s="180" t="str">
        <x:v>Daikyo</x:v>
      </x:c>
      <x:c r="D13" s="180" t="str">
        <x:v>Daikyo Affiliate Products</x:v>
      </x:c>
      <x:c r="E13" s="180" t="str">
        <x:v>Syringes and cartridges</x:v>
      </x:c>
      <x:c r="F13" s="180" t="str">
        <x:v>Daikyo Crystal Zenith Cartridges</x:v>
      </x:c>
      <x:c r="G13" s="180" t="str">
        <x:v>Family</x:v>
      </x:c>
      <x:c r="H13" s="180" t="str">
        <x:v>ISO 1mL and 3mL</x:v>
      </x:c>
      <x:c r="I13" s="180" t="str">
        <x:v>Tray packaging</x:v>
      </x:c>
      <x:c r="J13" s="180" t="str"/>
      <x:c r="K13" s="180" t="str"/>
      <x:c r="L13" s="180" t="str">
        <x:v>Active</x:v>
      </x:c>
      <x:c r="M13" s="180" t="str">
        <x:v>Affiliate public family/configuration verified</x:v>
      </x:c>
      <x:c r="N13" s="186" t="str">
        <x:v>https://www.daikyoseiko.jp/en/product/daikyo-cz/</x:v>
      </x:c>
    </x:row>
    <x:row r="14">
      <x:c r="A14" s="185" t="str">
        <x:v>Daikyo Seiko, Ltd.</x:v>
      </x:c>
      <x:c r="B14" s="180" t="str">
        <x:v>49%-owned affiliate; selected technology licensed/distributed by West</x:v>
      </x:c>
      <x:c r="C14" s="180" t="str">
        <x:v>Daikyo</x:v>
      </x:c>
      <x:c r="D14" s="180" t="str">
        <x:v>Daikyo Affiliate Products</x:v>
      </x:c>
      <x:c r="E14" s="180" t="str">
        <x:v>Syringes and cartridges</x:v>
      </x:c>
      <x:c r="F14" s="180" t="str">
        <x:v>Daikyo Crystal Zenith Syringes</x:v>
      </x:c>
      <x:c r="G14" s="180" t="str">
        <x:v>Family</x:v>
      </x:c>
      <x:c r="H14" s="180" t="str">
        <x:v>0.25mL to 150mL</x:v>
      </x:c>
      <x:c r="I14" s="180" t="str">
        <x:v>Bulk or tub/nest; selected sterile models</x:v>
      </x:c>
      <x:c r="J14" s="180" t="str"/>
      <x:c r="K14" s="180" t="str"/>
      <x:c r="L14" s="180" t="str">
        <x:v>Active</x:v>
      </x:c>
      <x:c r="M14" s="180" t="str">
        <x:v>Affiliate public family/configuration verified</x:v>
      </x:c>
      <x:c r="N14" s="186" t="str">
        <x:v>https://www.daikyoseiko.jp/en/product/daikyo-cz/</x:v>
      </x:c>
    </x:row>
    <x:row r="15">
      <x:c r="A15" s="185" t="str">
        <x:v>Daikyo Seiko, Ltd.</x:v>
      </x:c>
      <x:c r="B15" s="180" t="str">
        <x:v>49%-owned affiliate; selected technology licensed/distributed by West</x:v>
      </x:c>
      <x:c r="C15" s="180" t="str">
        <x:v>Daikyo</x:v>
      </x:c>
      <x:c r="D15" s="180" t="str">
        <x:v>Daikyo Affiliate Products</x:v>
      </x:c>
      <x:c r="E15" s="180" t="str">
        <x:v>Syringes and cartridges</x:v>
      </x:c>
      <x:c r="F15" s="180" t="str">
        <x:v>Daikyo Sterilized CZ Syringe 0.5mL Luer Lock</x:v>
      </x:c>
      <x:c r="G15" s="180" t="str">
        <x:v>Family</x:v>
      </x:c>
      <x:c r="H15" s="180" t="str">
        <x:v>0.5mL LL</x:v>
      </x:c>
      <x:c r="I15" s="180" t="str">
        <x:v>Electron-beam; tub/nest</x:v>
      </x:c>
      <x:c r="J15" s="180" t="str"/>
      <x:c r="K15" s="180" t="str"/>
      <x:c r="L15" s="180" t="str">
        <x:v>Active</x:v>
      </x:c>
      <x:c r="M15" s="180" t="str">
        <x:v>Affiliate public family/configuration verified</x:v>
      </x:c>
      <x:c r="N15" s="186" t="str">
        <x:v>https://www.daikyoseiko.jp/en/product/daikyo-cz/</x:v>
      </x:c>
    </x:row>
    <x:row r="16">
      <x:c r="A16" s="185" t="str">
        <x:v>Daikyo Seiko, Ltd.</x:v>
      </x:c>
      <x:c r="B16" s="180" t="str">
        <x:v>49%-owned affiliate; selected technology licensed/distributed by West</x:v>
      </x:c>
      <x:c r="C16" s="180" t="str">
        <x:v>Daikyo</x:v>
      </x:c>
      <x:c r="D16" s="180" t="str">
        <x:v>Daikyo Affiliate Products</x:v>
      </x:c>
      <x:c r="E16" s="180" t="str">
        <x:v>Syringes and cartridges</x:v>
      </x:c>
      <x:c r="F16" s="180" t="str">
        <x:v>Daikyo Sterilized CZ Syringe 1mL Insert Needle Long</x:v>
      </x:c>
      <x:c r="G16" s="180" t="str">
        <x:v>Family</x:v>
      </x:c>
      <x:c r="H16" s="180" t="str">
        <x:v>1mL IN Long</x:v>
      </x:c>
      <x:c r="I16" s="180" t="str">
        <x:v>Electron-beam; tub/nest</x:v>
      </x:c>
      <x:c r="J16" s="180" t="str"/>
      <x:c r="K16" s="180" t="str"/>
      <x:c r="L16" s="180" t="str">
        <x:v>Active</x:v>
      </x:c>
      <x:c r="M16" s="180" t="str">
        <x:v>Affiliate public family/configuration verified</x:v>
      </x:c>
      <x:c r="N16" s="186" t="str">
        <x:v>https://www.daikyoseiko.jp/en/product/daikyo-cz/</x:v>
      </x:c>
    </x:row>
    <x:row r="17">
      <x:c r="A17" s="185" t="str">
        <x:v>Daikyo Seiko, Ltd.</x:v>
      </x:c>
      <x:c r="B17" s="180" t="str">
        <x:v>49%-owned affiliate; selected technology licensed/distributed by West</x:v>
      </x:c>
      <x:c r="C17" s="180" t="str">
        <x:v>Daikyo</x:v>
      </x:c>
      <x:c r="D17" s="180" t="str">
        <x:v>Daikyo Affiliate Products</x:v>
      </x:c>
      <x:c r="E17" s="180" t="str">
        <x:v>Syringes and cartridges</x:v>
      </x:c>
      <x:c r="F17" s="180" t="str">
        <x:v>Daikyo Sterilized CZ Syringe 1mL Luer Lock</x:v>
      </x:c>
      <x:c r="G17" s="180" t="str">
        <x:v>Family</x:v>
      </x:c>
      <x:c r="H17" s="180" t="str">
        <x:v>1mL LL</x:v>
      </x:c>
      <x:c r="I17" s="180" t="str">
        <x:v>Electron-beam; tub/nest</x:v>
      </x:c>
      <x:c r="J17" s="180" t="str"/>
      <x:c r="K17" s="180" t="str"/>
      <x:c r="L17" s="180" t="str">
        <x:v>Active</x:v>
      </x:c>
      <x:c r="M17" s="180" t="str">
        <x:v>Affiliate public family/configuration verified</x:v>
      </x:c>
      <x:c r="N17" s="186" t="str">
        <x:v>https://www.daikyoseiko.jp/en/product/daikyo-cz/</x:v>
      </x:c>
    </x:row>
    <x:row r="18">
      <x:c r="A18" s="185" t="str">
        <x:v>Daikyo Seiko, Ltd.</x:v>
      </x:c>
      <x:c r="B18" s="180" t="str">
        <x:v>49%-owned affiliate; selected technology licensed/distributed by West</x:v>
      </x:c>
      <x:c r="C18" s="180" t="str">
        <x:v>Daikyo</x:v>
      </x:c>
      <x:c r="D18" s="180" t="str">
        <x:v>Daikyo Affiliate Products</x:v>
      </x:c>
      <x:c r="E18" s="180" t="str">
        <x:v>Syringes and cartridges</x:v>
      </x:c>
      <x:c r="F18" s="180" t="str">
        <x:v>Daikyo Sterilized CZ Syringe 2.5mL FMR</x:v>
      </x:c>
      <x:c r="G18" s="180" t="str">
        <x:v>Family</x:v>
      </x:c>
      <x:c r="H18" s="180" t="str">
        <x:v>2.5mL FMR</x:v>
      </x:c>
      <x:c r="I18" s="180" t="str">
        <x:v>Electron-beam; tub/nest</x:v>
      </x:c>
      <x:c r="J18" s="180" t="str"/>
      <x:c r="K18" s="180" t="str"/>
      <x:c r="L18" s="180" t="str">
        <x:v>Active</x:v>
      </x:c>
      <x:c r="M18" s="180" t="str">
        <x:v>Affiliate public family/configuration verified</x:v>
      </x:c>
      <x:c r="N18" s="186" t="str">
        <x:v>https://www.daikyoseiko.jp/en/product/daikyo-cz/</x:v>
      </x:c>
    </x:row>
    <x:row r="19">
      <x:c r="A19" s="185" t="str">
        <x:v>West Pharmaceutical Services, Inc.</x:v>
      </x:c>
      <x:c r="B19" s="180" t="str">
        <x:v>Parent / consolidated</x:v>
      </x:c>
      <x:c r="C19" s="180" t="str">
        <x:v>ConfiDose</x:v>
      </x:c>
      <x:c r="D19" s="180" t="str">
        <x:v>Legacy / Status Review</x:v>
      </x:c>
      <x:c r="E19" s="180" t="str">
        <x:v>Legacy proprietary offering</x:v>
      </x:c>
      <x:c r="F19" s="180" t="str">
        <x:v>ConfiDose Disposable Auto-Injector System</x:v>
      </x:c>
      <x:c r="G19" s="180" t="str">
        <x:v>Family</x:v>
      </x:c>
      <x:c r="H19" s="180" t="str"/>
      <x:c r="I19" s="180" t="str"/>
      <x:c r="J19" s="180" t="str"/>
      <x:c r="K19" s="180" t="str"/>
      <x:c r="L19" s="180" t="str">
        <x:v>Needs current-status review</x:v>
      </x:c>
      <x:c r="M19" s="180" t="str">
        <x:v>Historical source only</x:v>
      </x:c>
      <x:c r="N19" s="186" t="str">
        <x:v>https://www.sec.gov/Archives/edgar/data/105770/000010577026000010/wst-20251231.htm</x:v>
      </x:c>
    </x:row>
    <x:row r="20">
      <x:c r="A20" s="185" t="str">
        <x:v>West Pharmaceutical Services, Inc.</x:v>
      </x:c>
      <x:c r="B20" s="180" t="str">
        <x:v>Parent / consolidated</x:v>
      </x:c>
      <x:c r="C20" s="180" t="str">
        <x:v>NovaGuard</x:v>
      </x:c>
      <x:c r="D20" s="180" t="str">
        <x:v>Legacy / Status Review</x:v>
      </x:c>
      <x:c r="E20" s="180" t="str">
        <x:v>Legacy proprietary offering</x:v>
      </x:c>
      <x:c r="F20" s="180" t="str">
        <x:v>NovaGuard Passive Safety Needle System</x:v>
      </x:c>
      <x:c r="G20" s="180" t="str">
        <x:v>Family</x:v>
      </x:c>
      <x:c r="H20" s="180" t="str"/>
      <x:c r="I20" s="180" t="str"/>
      <x:c r="J20" s="180" t="str"/>
      <x:c r="K20" s="180" t="str"/>
      <x:c r="L20" s="180" t="str">
        <x:v>Needs current-status review</x:v>
      </x:c>
      <x:c r="M20" s="180" t="str">
        <x:v>Historical source only</x:v>
      </x:c>
      <x:c r="N20" s="186" t="str">
        <x:v>https://www.sec.gov/Archives/edgar/data/105770/000010577026000010/wst-20251231.htm</x:v>
      </x:c>
    </x:row>
    <x:row r="21">
      <x:c r="A21" s="185" t="str">
        <x:v>West Pharmaceutical Services, Inc.</x:v>
      </x:c>
      <x:c r="B21" s="180" t="str">
        <x:v>Parent / consolidated</x:v>
      </x:c>
      <x:c r="C21" s="180" t="str">
        <x:v>VeriSure</x:v>
      </x:c>
      <x:c r="D21" s="180" t="str">
        <x:v>Legacy / Status Review</x:v>
      </x:c>
      <x:c r="E21" s="180" t="str">
        <x:v>Legacy proprietary offering</x:v>
      </x:c>
      <x:c r="F21" s="180" t="str">
        <x:v>VeriSure Components</x:v>
      </x:c>
      <x:c r="G21" s="180" t="str">
        <x:v>Family</x:v>
      </x:c>
      <x:c r="H21" s="180" t="str"/>
      <x:c r="I21" s="180" t="str"/>
      <x:c r="J21" s="180" t="str"/>
      <x:c r="K21" s="180" t="str"/>
      <x:c r="L21" s="180" t="str">
        <x:v>Needs current-status review</x:v>
      </x:c>
      <x:c r="M21" s="180" t="str">
        <x:v>Historical source only</x:v>
      </x:c>
      <x:c r="N21" s="186" t="str">
        <x:v>https://www.sec.gov/Archives/edgar/data/105770/000010577026000010/wst-20251231.htm</x:v>
      </x:c>
    </x:row>
    <x:row r="22">
      <x:c r="A22" s="185" t="str">
        <x:v>Aluplast, S.A. de C.V.</x:v>
      </x:c>
      <x:c r="B22" s="180" t="str">
        <x:v>49%-owned affiliate through West Mexico</x:v>
      </x:c>
      <x:c r="C22" s="180" t="str"/>
      <x:c r="D22" s="180" t="str">
        <x:v>Mexico Affiliate Products</x:v>
      </x:c>
      <x:c r="E22" s="180" t="str">
        <x:v>Aluminum seals</x:v>
      </x:c>
      <x:c r="F22" s="180" t="str">
        <x:v>Aluminum Pharmaceutical Seals</x:v>
      </x:c>
      <x:c r="G22" s="180" t="str">
        <x:v>Family</x:v>
      </x:c>
      <x:c r="H22" s="180" t="str"/>
      <x:c r="I22" s="180" t="str"/>
      <x:c r="J22" s="180" t="str"/>
      <x:c r="K22" s="180" t="str"/>
      <x:c r="L22" s="180" t="str">
        <x:v>Active</x:v>
      </x:c>
      <x:c r="M22" s="180" t="str">
        <x:v>Affiliate family verified; item catalog not public</x:v>
      </x:c>
      <x:c r="N22" s="186" t="str">
        <x:v>https://www.westpharma.com/partners</x:v>
      </x:c>
    </x:row>
    <x:row r="23">
      <x:c r="A23" s="185" t="str">
        <x:v>Pharma Tap, S.A. de C.V.</x:v>
      </x:c>
      <x:c r="B23" s="180" t="str">
        <x:v>49%-owned affiliate through West Mexico</x:v>
      </x:c>
      <x:c r="C23" s="180" t="str"/>
      <x:c r="D23" s="180" t="str">
        <x:v>Mexico Affiliate Products</x:v>
      </x:c>
      <x:c r="E23" s="180" t="str">
        <x:v>IV components</x:v>
      </x:c>
      <x:c r="F23" s="180" t="str">
        <x:v>Sleeve Stoppers</x:v>
      </x:c>
      <x:c r="G23" s="180" t="str">
        <x:v>Family</x:v>
      </x:c>
      <x:c r="H23" s="180" t="str"/>
      <x:c r="I23" s="180" t="str"/>
      <x:c r="J23" s="180" t="str"/>
      <x:c r="K23" s="180" t="str"/>
      <x:c r="L23" s="180" t="str">
        <x:v>Active</x:v>
      </x:c>
      <x:c r="M23" s="180" t="str">
        <x:v>Affiliate family verified; item catalog not public</x:v>
      </x:c>
      <x:c r="N23" s="186" t="str">
        <x:v>https://www.westpharma.com/partners</x:v>
      </x:c>
    </x:row>
    <x:row r="24">
      <x:c r="A24" s="185" t="str">
        <x:v>Aluplast, S.A. de C.V.</x:v>
      </x:c>
      <x:c r="B24" s="180" t="str">
        <x:v>49%-owned affiliate through West Mexico</x:v>
      </x:c>
      <x:c r="C24" s="180" t="str"/>
      <x:c r="D24" s="180" t="str">
        <x:v>Mexico Affiliate Products</x:v>
      </x:c>
      <x:c r="E24" s="180" t="str">
        <x:v>Plastic closures</x:v>
      </x:c>
      <x:c r="F24" s="180" t="str">
        <x:v>Plastic Bottle Caps and Closures</x:v>
      </x:c>
      <x:c r="G24" s="180" t="str">
        <x:v>Family</x:v>
      </x:c>
      <x:c r="H24" s="180" t="str"/>
      <x:c r="I24" s="180" t="str"/>
      <x:c r="J24" s="180" t="str"/>
      <x:c r="K24" s="180" t="str"/>
      <x:c r="L24" s="180" t="str">
        <x:v>Active</x:v>
      </x:c>
      <x:c r="M24" s="180" t="str">
        <x:v>Affiliate family verified; item catalog not public</x:v>
      </x:c>
      <x:c r="N24" s="186" t="str">
        <x:v>https://www.westpharma.com/partners</x:v>
      </x:c>
    </x:row>
    <x:row r="25">
      <x:c r="A25" s="185" t="str">
        <x:v>Aluplast, S.A. de C.V.</x:v>
      </x:c>
      <x:c r="B25" s="180" t="str">
        <x:v>49%-owned affiliate through West Mexico</x:v>
      </x:c>
      <x:c r="C25" s="180" t="str"/>
      <x:c r="D25" s="180" t="str">
        <x:v>Mexico Affiliate Products</x:v>
      </x:c>
      <x:c r="E25" s="180" t="str">
        <x:v>Plastic packaging</x:v>
      </x:c>
      <x:c r="F25" s="180" t="str">
        <x:v>Plastic Containers</x:v>
      </x:c>
      <x:c r="G25" s="180" t="str">
        <x:v>Family</x:v>
      </x:c>
      <x:c r="H25" s="180" t="str"/>
      <x:c r="I25" s="180" t="str"/>
      <x:c r="J25" s="180" t="str"/>
      <x:c r="K25" s="180" t="str"/>
      <x:c r="L25" s="180" t="str">
        <x:v>Active</x:v>
      </x:c>
      <x:c r="M25" s="180" t="str">
        <x:v>Affiliate family verified; item catalog not public</x:v>
      </x:c>
      <x:c r="N25" s="186" t="str">
        <x:v>https://www.westpharma.com/partners</x:v>
      </x:c>
    </x:row>
    <x:row r="26">
      <x:c r="A26" s="185" t="str">
        <x:v>Pharma Tap, S.A. de C.V.</x:v>
      </x:c>
      <x:c r="B26" s="180" t="str">
        <x:v>49%-owned affiliate through West Mexico</x:v>
      </x:c>
      <x:c r="C26" s="180" t="str"/>
      <x:c r="D26" s="180" t="str">
        <x:v>Mexico Affiliate Products</x:v>
      </x:c>
      <x:c r="E26" s="180" t="str">
        <x:v>Rubber closures</x:v>
      </x:c>
      <x:c r="F26" s="180" t="str">
        <x:v>Lyophilization Stoppers</x:v>
      </x:c>
      <x:c r="G26" s="180" t="str">
        <x:v>Family</x:v>
      </x:c>
      <x:c r="H26" s="180" t="str"/>
      <x:c r="I26" s="180" t="str"/>
      <x:c r="J26" s="180" t="str"/>
      <x:c r="K26" s="180" t="str"/>
      <x:c r="L26" s="180" t="str">
        <x:v>Active</x:v>
      </x:c>
      <x:c r="M26" s="180" t="str">
        <x:v>Affiliate family verified; item catalog not public</x:v>
      </x:c>
      <x:c r="N26" s="186" t="str">
        <x:v>https://www.westpharma.com/partners</x:v>
      </x:c>
    </x:row>
    <x:row r="27">
      <x:c r="A27" s="185" t="str">
        <x:v>Pharma Tap, S.A. de C.V.</x:v>
      </x:c>
      <x:c r="B27" s="180" t="str">
        <x:v>49%-owned affiliate through West Mexico</x:v>
      </x:c>
      <x:c r="C27" s="180" t="str"/>
      <x:c r="D27" s="180" t="str">
        <x:v>Mexico Affiliate Products</x:v>
      </x:c>
      <x:c r="E27" s="180" t="str">
        <x:v>Rubber closures</x:v>
      </x:c>
      <x:c r="F27" s="180" t="str">
        <x:v>Serum Stoppers</x:v>
      </x:c>
      <x:c r="G27" s="180" t="str">
        <x:v>Family</x:v>
      </x:c>
      <x:c r="H27" s="180" t="str"/>
      <x:c r="I27" s="180" t="str"/>
      <x:c r="J27" s="180" t="str"/>
      <x:c r="K27" s="180" t="str"/>
      <x:c r="L27" s="180" t="str">
        <x:v>Active</x:v>
      </x:c>
      <x:c r="M27" s="180" t="str">
        <x:v>Affiliate family verified; item catalog not public</x:v>
      </x:c>
      <x:c r="N27" s="186" t="str">
        <x:v>https://www.westpharma.com/partners</x:v>
      </x:c>
    </x:row>
    <x:row r="28">
      <x:c r="A28" s="185" t="str">
        <x:v>Pharma Rubber, S.A. de C.V.</x:v>
      </x:c>
      <x:c r="B28" s="180" t="str">
        <x:v>49%-owned affiliate through West Mexico</x:v>
      </x:c>
      <x:c r="C28" s="180" t="str"/>
      <x:c r="D28" s="180" t="str">
        <x:v>Mexico Affiliate Products</x:v>
      </x:c>
      <x:c r="E28" s="180" t="str">
        <x:v>Rubber components</x:v>
      </x:c>
      <x:c r="F28" s="180" t="str">
        <x:v>Rubber Sleeves</x:v>
      </x:c>
      <x:c r="G28" s="180" t="str">
        <x:v>Family</x:v>
      </x:c>
      <x:c r="H28" s="180" t="str"/>
      <x:c r="I28" s="180" t="str"/>
      <x:c r="J28" s="180" t="str"/>
      <x:c r="K28" s="180" t="str"/>
      <x:c r="L28" s="180" t="str">
        <x:v>Active</x:v>
      </x:c>
      <x:c r="M28" s="180" t="str">
        <x:v>Affiliate family verified; item catalog not public</x:v>
      </x:c>
      <x:c r="N28" s="186" t="str">
        <x:v>https://www.westpharma.com/global-locations</x:v>
      </x:c>
    </x:row>
    <x:row r="29">
      <x:c r="A29" s="185" t="str">
        <x:v>Pharma Tap, S.A. de C.V.</x:v>
      </x:c>
      <x:c r="B29" s="180" t="str">
        <x:v>49%-owned affiliate through West Mexico</x:v>
      </x:c>
      <x:c r="C29" s="180" t="str"/>
      <x:c r="D29" s="180" t="str">
        <x:v>Mexico Affiliate Products</x:v>
      </x:c>
      <x:c r="E29" s="180" t="str">
        <x:v>Syringe components</x:v>
      </x:c>
      <x:c r="F29" s="180" t="str">
        <x:v>Syringe Plungers</x:v>
      </x:c>
      <x:c r="G29" s="180" t="str">
        <x:v>Family</x:v>
      </x:c>
      <x:c r="H29" s="180" t="str"/>
      <x:c r="I29" s="180" t="str"/>
      <x:c r="J29" s="180" t="str"/>
      <x:c r="K29" s="180" t="str"/>
      <x:c r="L29" s="180" t="str">
        <x:v>Active</x:v>
      </x:c>
      <x:c r="M29" s="180" t="str">
        <x:v>Affiliate family verified; item catalog not public</x:v>
      </x:c>
      <x:c r="N29" s="186" t="str">
        <x:v>https://www.westpharma.com/partners</x:v>
      </x:c>
    </x:row>
    <x:row r="30">
      <x:c r="A30" s="185" t="str">
        <x:v>Daikyo Seiko, Ltd. / West manufactured 1mL IN Long</x:v>
      </x:c>
      <x:c r="B30" s="180" t="str">
        <x:v>Affiliate technology; 1mL IN Long manufactured by West</x:v>
      </x:c>
      <x:c r="C30" s="180" t="str">
        <x:v>Daikyo Crystal Zenith</x:v>
      </x:c>
      <x:c r="D30" s="180" t="str">
        <x:v>Prefillable Syringes</x:v>
      </x:c>
      <x:c r="E30" s="180" t="str">
        <x:v>Insert needle syringe</x:v>
      </x:c>
      <x:c r="F30" s="180" t="str">
        <x:v>Daikyo Crystal Zenith 1mL Long Insert Needle Syringe</x:v>
      </x:c>
      <x:c r="G30" s="180" t="str">
        <x:v>Family</x:v>
      </x:c>
      <x:c r="H30" s="180" t="str">
        <x:v>1mL long</x:v>
      </x:c>
      <x:c r="I30" s="180" t="str"/>
      <x:c r="J30" s="180" t="str"/>
      <x:c r="K30" s="180" t="str"/>
      <x:c r="L30" s="180" t="str">
        <x:v>Active</x:v>
      </x:c>
      <x:c r="M30" s="180" t="str">
        <x:v>Public family verified</x:v>
      </x:c>
      <x:c r="N30" s="186" t="str">
        <x:v>https://www.westpharma.com/products/prefillable-syringes/daikyo-prefillable-syringes/insert-needle-syringe-components</x:v>
      </x:c>
    </x:row>
    <x:row r="31">
      <x:c r="A31" s="185" t="str">
        <x:v>Daikyo Seiko, Ltd.</x:v>
      </x:c>
      <x:c r="B31" s="180" t="str">
        <x:v>49%-owned affiliate / West licensee and distributor relationship</x:v>
      </x:c>
      <x:c r="C31" s="180" t="str">
        <x:v>Daikyo Crystal Zenith</x:v>
      </x:c>
      <x:c r="D31" s="180" t="str">
        <x:v>Prefillable Syringes</x:v>
      </x:c>
      <x:c r="E31" s="180" t="str">
        <x:v>Insert needle syringe</x:v>
      </x:c>
      <x:c r="F31" s="180" t="str">
        <x:v>Daikyo Crystal Zenith 2.25mL Insert Needle Syringe</x:v>
      </x:c>
      <x:c r="G31" s="180" t="str">
        <x:v>Family</x:v>
      </x:c>
      <x:c r="H31" s="180" t="str">
        <x:v>2.25mL</x:v>
      </x:c>
      <x:c r="I31" s="180" t="str"/>
      <x:c r="J31" s="180" t="str"/>
      <x:c r="K31" s="180" t="str"/>
      <x:c r="L31" s="180" t="str">
        <x:v>Active</x:v>
      </x:c>
      <x:c r="M31" s="180" t="str">
        <x:v>Public family verified</x:v>
      </x:c>
      <x:c r="N31" s="186" t="str">
        <x:v>https://www.westpharma.com/products/prefillable-syringes/daikyo-prefillable-syringes/insert-needle-syringe-components</x:v>
      </x:c>
    </x:row>
    <x:row r="32">
      <x:c r="A32" s="185" t="str">
        <x:v>West Pharmaceutical Services, Inc.</x:v>
      </x:c>
      <x:c r="B32" s="180" t="str">
        <x:v>Parent / consolidated</x:v>
      </x:c>
      <x:c r="C32" s="180" t="str">
        <x:v>Synchrony</x:v>
      </x:c>
      <x:c r="D32" s="180" t="str">
        <x:v>Prefillable Syringes</x:v>
      </x:c>
      <x:c r="E32" s="180" t="str">
        <x:v>Integrated PFS system</x:v>
      </x:c>
      <x:c r="F32" s="180" t="str">
        <x:v>West Synchrony S1 Prefillable Syringe System</x:v>
      </x:c>
      <x:c r="G32" s="180" t="str">
        <x:v>Family</x:v>
      </x:c>
      <x:c r="H32" s="180" t="str"/>
      <x:c r="I32" s="180" t="str"/>
      <x:c r="J32" s="180" t="str"/>
      <x:c r="K32" s="180" t="str"/>
      <x:c r="L32" s="180" t="str">
        <x:v>Active</x:v>
      </x:c>
      <x:c r="M32" s="180" t="str">
        <x:v>Public family verified</x:v>
      </x:c>
      <x:c r="N32" s="186" t="str">
        <x:v>https://www.westpharma.com/products/prefillable-syringes/synchrony-s1-pfs-system</x:v>
      </x:c>
    </x:row>
    <x:row r="33">
      <x:c r="A33" s="185" t="str">
        <x:v>Daikyo Seiko, Ltd.</x:v>
      </x:c>
      <x:c r="B33" s="180" t="str">
        <x:v>49%-owned affiliate / West licensee and distributor relationship</x:v>
      </x:c>
      <x:c r="C33" s="180" t="str">
        <x:v>Daikyo Crystal Zenith</x:v>
      </x:c>
      <x:c r="D33" s="180" t="str">
        <x:v>Prefillable Syringes</x:v>
      </x:c>
      <x:c r="E33" s="180" t="str">
        <x:v>Luer lock syringe</x:v>
      </x:c>
      <x:c r="F33" s="180" t="str">
        <x:v>Daikyo Crystal Zenith Ophthalmic 0.5mL Luer Lock Syringe</x:v>
      </x:c>
      <x:c r="G33" s="180" t="str">
        <x:v>Family</x:v>
      </x:c>
      <x:c r="H33" s="180" t="str">
        <x:v>0.5mL</x:v>
      </x:c>
      <x:c r="I33" s="180" t="str">
        <x:v>Daikyo RUV</x:v>
      </x:c>
      <x:c r="J33" s="180" t="str">
        <x:v>FluroTec tip cap and piston</x:v>
      </x:c>
      <x:c r="K33" s="180" t="str"/>
      <x:c r="L33" s="180" t="str">
        <x:v>Active</x:v>
      </x:c>
      <x:c r="M33" s="180" t="str">
        <x:v>Public family verified</x:v>
      </x:c>
      <x:c r="N33" s="186" t="str">
        <x:v>https://www.westpharma.com/products/prefillable-syringes/daikyo-prefillable-syringes/luer-lock-syringes</x:v>
      </x:c>
    </x:row>
    <x:row r="34">
      <x:c r="A34" s="185" t="str">
        <x:v>Daikyo Seiko, Ltd.</x:v>
      </x:c>
      <x:c r="B34" s="180" t="str">
        <x:v>49%-owned affiliate / West licensee and distributor relationship</x:v>
      </x:c>
      <x:c r="C34" s="180" t="str">
        <x:v>Daikyo Crystal Zenith</x:v>
      </x:c>
      <x:c r="D34" s="180" t="str">
        <x:v>Prefillable Syringes</x:v>
      </x:c>
      <x:c r="E34" s="180" t="str">
        <x:v>Polymer PFS</x:v>
      </x:c>
      <x:c r="F34" s="180" t="str">
        <x:v>Daikyo Crystal Zenith Polymer Ready-to-Use Prefillable Syringes</x:v>
      </x:c>
      <x:c r="G34" s="180" t="str">
        <x:v>Family</x:v>
      </x:c>
      <x:c r="H34" s="180" t="str"/>
      <x:c r="I34" s="180" t="str"/>
      <x:c r="J34" s="180" t="str"/>
      <x:c r="K34" s="180" t="str"/>
      <x:c r="L34" s="180" t="str">
        <x:v>Active</x:v>
      </x:c>
      <x:c r="M34" s="180" t="str">
        <x:v>Public family verified</x:v>
      </x:c>
      <x:c r="N34" s="186" t="str">
        <x:v>https://www.westpharma.com/products/prefillable-syringes/daikyo-prefillable-syringes</x:v>
      </x:c>
    </x:row>
    <x:row r="35">
      <x:c r="A35" s="185" t="str">
        <x:v>West Pharmaceutical Services, Inc.</x:v>
      </x:c>
      <x:c r="B35" s="180" t="str">
        <x:v>Parent / consolidated</x:v>
      </x:c>
      <x:c r="C35" s="180" t="str">
        <x:v>FluroTec</x:v>
      </x:c>
      <x:c r="D35" s="180" t="str">
        <x:v>Prefillable Syringes</x:v>
      </x:c>
      <x:c r="E35" s="180" t="str">
        <x:v>Syringe components</x:v>
      </x:c>
      <x:c r="F35" s="180" t="str">
        <x:v>0.5mL FluroTec Laminated Plunger</x:v>
      </x:c>
      <x:c r="G35" s="180" t="str">
        <x:v>Configuration</x:v>
      </x:c>
      <x:c r="H35" s="180" t="str">
        <x:v>0.5mL</x:v>
      </x:c>
      <x:c r="I35" s="180" t="str"/>
      <x:c r="J35" s="180" t="str">
        <x:v>FluroTec barrier film</x:v>
      </x:c>
      <x:c r="K35" s="180" t="str"/>
      <x:c r="L35" s="180" t="str">
        <x:v>Active</x:v>
      </x:c>
      <x:c r="M35" s="180" t="str">
        <x:v>Public configuration verified</x:v>
      </x:c>
      <x:c r="N35" s="186" t="str">
        <x:v>https://www.westpharma.com/products/prefillable-syringes/syringe-components/flurotec-barrier-film-laminated-plungers</x:v>
      </x:c>
    </x:row>
    <x:row r="36">
      <x:c r="A36" s="185" t="str">
        <x:v>West Pharmaceutical Services, Inc.</x:v>
      </x:c>
      <x:c r="B36" s="180" t="str">
        <x:v>Parent / consolidated</x:v>
      </x:c>
      <x:c r="C36" s="180" t="str">
        <x:v>FluroTec</x:v>
      </x:c>
      <x:c r="D36" s="180" t="str">
        <x:v>Prefillable Syringes</x:v>
      </x:c>
      <x:c r="E36" s="180" t="str">
        <x:v>Syringe components</x:v>
      </x:c>
      <x:c r="F36" s="180" t="str">
        <x:v>1-3mL FluroTec Laminated Plunger</x:v>
      </x:c>
      <x:c r="G36" s="180" t="str">
        <x:v>Configuration</x:v>
      </x:c>
      <x:c r="H36" s="180" t="str">
        <x:v>1-3mL</x:v>
      </x:c>
      <x:c r="I36" s="180" t="str"/>
      <x:c r="J36" s="180" t="str">
        <x:v>FluroTec barrier film</x:v>
      </x:c>
      <x:c r="K36" s="180" t="str"/>
      <x:c r="L36" s="180" t="str">
        <x:v>Active</x:v>
      </x:c>
      <x:c r="M36" s="180" t="str">
        <x:v>Public configuration verified</x:v>
      </x:c>
      <x:c r="N36" s="186" t="str">
        <x:v>https://www.westpharma.com/products/prefillable-syringes/syringe-components/flurotec-barrier-film-laminated-plungers</x:v>
      </x:c>
    </x:row>
    <x:row r="37">
      <x:c r="A37" s="185" t="str">
        <x:v>West Pharmaceutical Services, Inc.</x:v>
      </x:c>
      <x:c r="B37" s="180" t="str">
        <x:v>Parent / consolidated</x:v>
      </x:c>
      <x:c r="C37" s="180" t="str">
        <x:v>Daikyo D Sigma</x:v>
      </x:c>
      <x:c r="D37" s="180" t="str">
        <x:v>Prefillable Syringes</x:v>
      </x:c>
      <x:c r="E37" s="180" t="str">
        <x:v>Syringe components</x:v>
      </x:c>
      <x:c r="F37" s="180" t="str">
        <x:v>1mL Long Daikyo D Sigma Piston for Glass Syringes</x:v>
      </x:c>
      <x:c r="G37" s="180" t="str">
        <x:v>Family</x:v>
      </x:c>
      <x:c r="H37" s="180" t="str">
        <x:v>1mL Long</x:v>
      </x:c>
      <x:c r="I37" s="180" t="str"/>
      <x:c r="J37" s="180" t="str">
        <x:v>Fluoropolymer laminated</x:v>
      </x:c>
      <x:c r="K37" s="180" t="str"/>
      <x:c r="L37" s="180" t="str">
        <x:v>Active</x:v>
      </x:c>
      <x:c r="M37" s="180" t="str">
        <x:v>Public family verified</x:v>
      </x:c>
      <x:c r="N37" s="186" t="str">
        <x:v>https://www.westpharma.com/products/prefillable-syringes/syringe-components/daikyo-d-sigma-glass-syringe-piston-plunger</x:v>
      </x:c>
    </x:row>
    <x:row r="38">
      <x:c r="A38" s="185" t="str">
        <x:v>West Pharmaceutical Services, Inc.</x:v>
      </x:c>
      <x:c r="B38" s="180" t="str">
        <x:v>Parent / consolidated</x:v>
      </x:c>
      <x:c r="C38" s="180" t="str">
        <x:v>FluroTec</x:v>
      </x:c>
      <x:c r="D38" s="180" t="str">
        <x:v>Prefillable Syringes</x:v>
      </x:c>
      <x:c r="E38" s="180" t="str">
        <x:v>Syringe components</x:v>
      </x:c>
      <x:c r="F38" s="180" t="str">
        <x:v>1mL Long FluroTec Laminated Plunger</x:v>
      </x:c>
      <x:c r="G38" s="180" t="str">
        <x:v>Configuration</x:v>
      </x:c>
      <x:c r="H38" s="180" t="str">
        <x:v>1mL Long</x:v>
      </x:c>
      <x:c r="I38" s="180" t="str"/>
      <x:c r="J38" s="180" t="str">
        <x:v>FluroTec barrier film</x:v>
      </x:c>
      <x:c r="K38" s="180" t="str"/>
      <x:c r="L38" s="180" t="str">
        <x:v>Active</x:v>
      </x:c>
      <x:c r="M38" s="180" t="str">
        <x:v>Public configuration verified</x:v>
      </x:c>
      <x:c r="N38" s="186" t="str">
        <x:v>https://www.westpharma.com/products/prefillable-syringes/syringe-components/flurotec-barrier-film-laminated-plungers</x:v>
      </x:c>
    </x:row>
    <x:row r="39">
      <x:c r="A39" s="185" t="str">
        <x:v>West Pharmaceutical Services, Inc.</x:v>
      </x:c>
      <x:c r="B39" s="180" t="str">
        <x:v>Parent / consolidated</x:v>
      </x:c>
      <x:c r="C39" s="180" t="str">
        <x:v>FluroTec</x:v>
      </x:c>
      <x:c r="D39" s="180" t="str">
        <x:v>Prefillable Syringes</x:v>
      </x:c>
      <x:c r="E39" s="180" t="str">
        <x:v>Syringe components</x:v>
      </x:c>
      <x:c r="F39" s="180" t="str">
        <x:v>5mL FluroTec Laminated Plunger</x:v>
      </x:c>
      <x:c r="G39" s="180" t="str">
        <x:v>Configuration</x:v>
      </x:c>
      <x:c r="H39" s="180" t="str">
        <x:v>5mL</x:v>
      </x:c>
      <x:c r="I39" s="180" t="str"/>
      <x:c r="J39" s="180" t="str">
        <x:v>FluroTec barrier film</x:v>
      </x:c>
      <x:c r="K39" s="180" t="str"/>
      <x:c r="L39" s="180" t="str">
        <x:v>Active</x:v>
      </x:c>
      <x:c r="M39" s="180" t="str">
        <x:v>Public configuration verified</x:v>
      </x:c>
      <x:c r="N39" s="186" t="str">
        <x:v>https://www.westpharma.com/products/prefillable-syringes/syringe-components/flurotec-barrier-film-laminated-plungers</x:v>
      </x:c>
    </x:row>
    <x:row r="40">
      <x:c r="A40" s="185" t="str">
        <x:v>West Pharmaceutical Services, Inc.</x:v>
      </x:c>
      <x:c r="B40" s="180" t="str">
        <x:v>Parent / consolidated</x:v>
      </x:c>
      <x:c r="C40" s="180" t="str">
        <x:v>FluroTec</x:v>
      </x:c>
      <x:c r="D40" s="180" t="str">
        <x:v>Prefillable Syringes</x:v>
      </x:c>
      <x:c r="E40" s="180" t="str">
        <x:v>Syringe components</x:v>
      </x:c>
      <x:c r="F40" s="180" t="str">
        <x:v>FluroTec Plungers</x:v>
      </x:c>
      <x:c r="G40" s="180" t="str">
        <x:v>Family</x:v>
      </x:c>
      <x:c r="H40" s="180" t="str">
        <x:v>0.5mL; 1mL Long; 1-3mL; 5mL</x:v>
      </x:c>
      <x:c r="I40" s="180" t="str"/>
      <x:c r="J40" s="180" t="str">
        <x:v>FluroTec barrier film</x:v>
      </x:c>
      <x:c r="K40" s="180" t="str">
        <x:v>Optional by configuration</x:v>
      </x:c>
      <x:c r="L40" s="180" t="str">
        <x:v>Active</x:v>
      </x:c>
      <x:c r="M40" s="180" t="str">
        <x:v>Public family verified</x:v>
      </x:c>
      <x:c r="N40" s="186" t="str">
        <x:v>https://www.westpharma.com/products/prefillable-syringes/syringe-components/flurotec-barrier-film-laminated-plungers</x:v>
      </x:c>
    </x:row>
    <x:row r="41">
      <x:c r="A41" s="185" t="str">
        <x:v>West Pharmaceutical Services, Inc.</x:v>
      </x:c>
      <x:c r="B41" s="180" t="str">
        <x:v>Parent / consolidated</x:v>
      </x:c>
      <x:c r="C41" s="180" t="str">
        <x:v>NovaPure</x:v>
      </x:c>
      <x:c r="D41" s="180" t="str">
        <x:v>Prefillable Syringes</x:v>
      </x:c>
      <x:c r="E41" s="180" t="str">
        <x:v>Syringe components</x:v>
      </x:c>
      <x:c r="F41" s="180" t="str">
        <x:v>NovaPure Syringe Plungers</x:v>
      </x:c>
      <x:c r="G41" s="180" t="str">
        <x:v>Family</x:v>
      </x:c>
      <x:c r="H41" s="180" t="str">
        <x:v>0.5mL; 1mL Long; 1-3mL</x:v>
      </x:c>
      <x:c r="I41" s="180" t="str"/>
      <x:c r="J41" s="180" t="str">
        <x:v>FluroTec barrier film and B2 coating</x:v>
      </x:c>
      <x:c r="K41" s="180" t="str">
        <x:v>100% Envision verification</x:v>
      </x:c>
      <x:c r="L41" s="180" t="str">
        <x:v>Active</x:v>
      </x:c>
      <x:c r="M41" s="180" t="str">
        <x:v>Public family verified</x:v>
      </x:c>
      <x:c r="N41" s="186" t="str">
        <x:v>https://www.westpharma.com/products/prefillable-syringes/syringe-components/novapure-elastomeric-1ml-3ml-plungers</x:v>
      </x:c>
    </x:row>
    <x:row r="42">
      <x:c r="A42" s="185" t="str">
        <x:v>West Pharmaceutical Services, Inc.</x:v>
      </x:c>
      <x:c r="B42" s="180" t="str">
        <x:v>Parent / consolidated</x:v>
      </x:c>
      <x:c r="C42" s="180" t="str">
        <x:v>Envision</x:v>
      </x:c>
      <x:c r="D42" s="180" t="str">
        <x:v>Prefillable Syringes</x:v>
      </x:c>
      <x:c r="E42" s="180" t="str">
        <x:v>Syringe components</x:v>
      </x:c>
      <x:c r="F42" s="180" t="str">
        <x:v>Syringe Plungers with Envision Verification</x:v>
      </x:c>
      <x:c r="G42" s="180" t="str">
        <x:v>Family</x:v>
      </x:c>
      <x:c r="H42" s="180" t="str">
        <x:v>Multiple configurations</x:v>
      </x:c>
      <x:c r="I42" s="180" t="str"/>
      <x:c r="J42" s="180" t="str">
        <x:v>Varies</x:v>
      </x:c>
      <x:c r="K42" s="180" t="str">
        <x:v>Envision automated vision inspection</x:v>
      </x:c>
      <x:c r="L42" s="180" t="str">
        <x:v>Active</x:v>
      </x:c>
      <x:c r="M42" s="180" t="str">
        <x:v>Public family verified</x:v>
      </x:c>
      <x:c r="N42" s="186" t="str">
        <x:v>https://www.westpharma.com/products/prefillable-syringes/syringe-components/envision-automated-plungers-inspection-system</x:v>
      </x:c>
    </x:row>
    <x:row r="43">
      <x:c r="A43" s="185" t="str">
        <x:v>West Pharmaceutical Services, Inc.</x:v>
      </x:c>
      <x:c r="B43" s="180" t="str">
        <x:v>Parent / consolidated</x:v>
      </x:c>
      <x:c r="C43" s="180" t="str">
        <x:v>Westar Select</x:v>
      </x:c>
      <x:c r="D43" s="180" t="str">
        <x:v>Prefillable Syringes</x:v>
      </x:c>
      <x:c r="E43" s="180" t="str">
        <x:v>Syringe components</x:v>
      </x:c>
      <x:c r="F43" s="180" t="str">
        <x:v>Syringe Plungers with Westar Select Quality Level</x:v>
      </x:c>
      <x:c r="G43" s="180" t="str">
        <x:v>Family</x:v>
      </x:c>
      <x:c r="H43" s="180" t="str">
        <x:v>Multiple configurations</x:v>
      </x:c>
      <x:c r="I43" s="180" t="str"/>
      <x:c r="J43" s="180" t="str">
        <x:v>Varies</x:v>
      </x:c>
      <x:c r="K43" s="180" t="str">
        <x:v>Enhanced AQL / optional inspection</x:v>
      </x:c>
      <x:c r="L43" s="180" t="str">
        <x:v>Active</x:v>
      </x:c>
      <x:c r="M43" s="180" t="str">
        <x:v>Public family verified</x:v>
      </x:c>
      <x:c r="N43" s="186" t="str">
        <x:v>https://www.westpharma.com/products/prefillable-syringes/syringe-components/westar-select-syringe-plungers</x:v>
      </x:c>
    </x:row>
    <x:row r="44">
      <x:c r="A44" s="185" t="str">
        <x:v>West Pharmaceutical Services, Inc.</x:v>
      </x:c>
      <x:c r="B44" s="180" t="str">
        <x:v>Parent / consolidated</x:v>
      </x:c>
      <x:c r="C44" s="180" t="str">
        <x:v>B2 Coating</x:v>
      </x:c>
      <x:c r="D44" s="180" t="str">
        <x:v>Quality Enhancements</x:v>
      </x:c>
      <x:c r="E44" s="180" t="str">
        <x:v>Component processing / technology</x:v>
      </x:c>
      <x:c r="F44" s="180" t="str">
        <x:v>B2 Coating</x:v>
      </x:c>
      <x:c r="G44" s="180" t="str">
        <x:v>Family</x:v>
      </x:c>
      <x:c r="H44" s="180" t="str"/>
      <x:c r="I44" s="180" t="str">
        <x:v>Silicone-free surface coating</x:v>
      </x:c>
      <x:c r="J44" s="180" t="str"/>
      <x:c r="K44" s="180" t="str"/>
      <x:c r="L44" s="180" t="str">
        <x:v>Active</x:v>
      </x:c>
      <x:c r="M44" s="180" t="str">
        <x:v>Public process offering verified</x:v>
      </x:c>
      <x:c r="N44" s="186" t="str">
        <x:v>https://www.westpharma.com/products/quality-enhancements/films-and-coatings</x:v>
      </x:c>
    </x:row>
    <x:row r="45">
      <x:c r="A45" s="185" t="str">
        <x:v>West Pharmaceutical Services, Inc.</x:v>
      </x:c>
      <x:c r="B45" s="180" t="str">
        <x:v>Parent / consolidated</x:v>
      </x:c>
      <x:c r="C45" s="180" t="str">
        <x:v>Envision</x:v>
      </x:c>
      <x:c r="D45" s="180" t="str">
        <x:v>Quality Enhancements</x:v>
      </x:c>
      <x:c r="E45" s="180" t="str">
        <x:v>Component processing / technology</x:v>
      </x:c>
      <x:c r="F45" s="180" t="str">
        <x:v>Envision Verification Process</x:v>
      </x:c>
      <x:c r="G45" s="180" t="str">
        <x:v>Family</x:v>
      </x:c>
      <x:c r="H45" s="180" t="str"/>
      <x:c r="I45" s="180" t="str">
        <x:v>Automated vision inspection after Westar wash</x:v>
      </x:c>
      <x:c r="J45" s="180" t="str"/>
      <x:c r="K45" s="180" t="str"/>
      <x:c r="L45" s="180" t="str">
        <x:v>Active</x:v>
      </x:c>
      <x:c r="M45" s="180" t="str">
        <x:v>Public process offering verified</x:v>
      </x:c>
      <x:c r="N45" s="186" t="str">
        <x:v>https://www.westpharma.com/products/quality-enhancements/envision-automated-vision-inspection-process-enhance-quality</x:v>
      </x:c>
    </x:row>
    <x:row r="46">
      <x:c r="A46" s="185" t="str">
        <x:v>West Pharmaceutical Services, Inc.</x:v>
      </x:c>
      <x:c r="B46" s="180" t="str">
        <x:v>Parent / consolidated</x:v>
      </x:c>
      <x:c r="C46" s="180" t="str">
        <x:v>FluroTec</x:v>
      </x:c>
      <x:c r="D46" s="180" t="str">
        <x:v>Quality Enhancements</x:v>
      </x:c>
      <x:c r="E46" s="180" t="str">
        <x:v>Component processing / technology</x:v>
      </x:c>
      <x:c r="F46" s="180" t="str">
        <x:v>FluroTec Barrier Film</x:v>
      </x:c>
      <x:c r="G46" s="180" t="str">
        <x:v>Family</x:v>
      </x:c>
      <x:c r="H46" s="180" t="str"/>
      <x:c r="I46" s="180" t="str">
        <x:v>Barrier-film lamination during molding</x:v>
      </x:c>
      <x:c r="J46" s="180" t="str"/>
      <x:c r="K46" s="180" t="str"/>
      <x:c r="L46" s="180" t="str">
        <x:v>Active</x:v>
      </x:c>
      <x:c r="M46" s="180" t="str">
        <x:v>Public process offering verified</x:v>
      </x:c>
      <x:c r="N46" s="186" t="str">
        <x:v>https://www.westpharma.com/products/quality-enhancements/films-and-coatings</x:v>
      </x:c>
    </x:row>
    <x:row r="47">
      <x:c r="A47" s="185" t="str">
        <x:v>West Pharmaceutical Services, Inc.</x:v>
      </x:c>
      <x:c r="B47" s="180" t="str">
        <x:v>Parent / consolidated</x:v>
      </x:c>
      <x:c r="C47" s="180" t="str">
        <x:v>Westar RS</x:v>
      </x:c>
      <x:c r="D47" s="180" t="str">
        <x:v>Quality Enhancements</x:v>
      </x:c>
      <x:c r="E47" s="180" t="str">
        <x:v>Component processing / technology</x:v>
      </x:c>
      <x:c r="F47" s="180" t="str">
        <x:v>Westar RS Washed Components</x:v>
      </x:c>
      <x:c r="G47" s="180" t="str">
        <x:v>Family</x:v>
      </x:c>
      <x:c r="H47" s="180" t="str"/>
      <x:c r="I47" s="180" t="str">
        <x:v>Washed; ready to sterilize</x:v>
      </x:c>
      <x:c r="J47" s="180" t="str"/>
      <x:c r="K47" s="180" t="str"/>
      <x:c r="L47" s="180" t="str">
        <x:v>Active</x:v>
      </x:c>
      <x:c r="M47" s="180" t="str">
        <x:v>Public process offering verified</x:v>
      </x:c>
      <x:c r="N47" s="186" t="str">
        <x:v>https://www.westpharma.com/products/quality-enhancements/washed-components</x:v>
      </x:c>
    </x:row>
    <x:row r="48">
      <x:c r="A48" s="185" t="str">
        <x:v>West Pharmaceutical Services, Inc.</x:v>
      </x:c>
      <x:c r="B48" s="180" t="str">
        <x:v>Parent / consolidated</x:v>
      </x:c>
      <x:c r="C48" s="180" t="str">
        <x:v>Westar RU</x:v>
      </x:c>
      <x:c r="D48" s="180" t="str">
        <x:v>Quality Enhancements</x:v>
      </x:c>
      <x:c r="E48" s="180" t="str">
        <x:v>Component processing / technology</x:v>
      </x:c>
      <x:c r="F48" s="180" t="str">
        <x:v>Westar RU Sterilized Components</x:v>
      </x:c>
      <x:c r="G48" s="180" t="str">
        <x:v>Family</x:v>
      </x:c>
      <x:c r="H48" s="180" t="str"/>
      <x:c r="I48" s="180" t="str">
        <x:v>Washed and sterilized; ready to use</x:v>
      </x:c>
      <x:c r="J48" s="180" t="str"/>
      <x:c r="K48" s="180" t="str"/>
      <x:c r="L48" s="180" t="str">
        <x:v>Active</x:v>
      </x:c>
      <x:c r="M48" s="180" t="str">
        <x:v>Public process offering verified</x:v>
      </x:c>
      <x:c r="N48" s="186" t="str">
        <x:v>https://www.westpharma.com/products/quality-enhancements/sterilized-components</x:v>
      </x:c>
    </x:row>
    <x:row r="49">
      <x:c r="A49" s="185" t="str">
        <x:v>Tech Group Europe Limited</x:v>
      </x:c>
      <x:c r="B49" s="180" t="str">
        <x:v>100%-owned subsidiary</x:v>
      </x:c>
      <x:c r="C49" s="180" t="str">
        <x:v>ERIS</x:v>
      </x:c>
      <x:c r="D49" s="180" t="str">
        <x:v>Safety Systems</x:v>
      </x:c>
      <x:c r="E49" s="180" t="str">
        <x:v>Syringe safety system</x:v>
      </x:c>
      <x:c r="F49" s="180" t="str">
        <x:v>ERIS Safety System for Prefilled Syringes</x:v>
      </x:c>
      <x:c r="G49" s="180" t="str">
        <x:v>Family</x:v>
      </x:c>
      <x:c r="H49" s="180" t="str"/>
      <x:c r="I49" s="180" t="str"/>
      <x:c r="J49" s="180" t="str"/>
      <x:c r="K49" s="180" t="str"/>
      <x:c r="L49" s="180" t="str">
        <x:v>Active</x:v>
      </x:c>
      <x:c r="M49" s="180" t="str">
        <x:v>Facility product verified</x:v>
      </x:c>
      <x:c r="N49" s="186" t="str">
        <x:v>https://careers.westpharma.com/content/France/?locale=en_US</x:v>
      </x:c>
    </x:row>
    <x:row r="50">
      <x:c r="A50" s="185" t="str">
        <x:v>West Pharmaceutical Services France S.A. / West</x:v>
      </x:c>
      <x:c r="B50" s="180" t="str">
        <x:v>100%-owned subsidiary / parent brand</x:v>
      </x:c>
      <x:c r="C50" s="180" t="str">
        <x:v>NovaGuard</x:v>
      </x:c>
      <x:c r="D50" s="180" t="str">
        <x:v>Safety Systems</x:v>
      </x:c>
      <x:c r="E50" s="180" t="str">
        <x:v>Syringe safety system</x:v>
      </x:c>
      <x:c r="F50" s="180" t="str">
        <x:v>NovaGuard SA Pro Safety System</x:v>
      </x:c>
      <x:c r="G50" s="180" t="str">
        <x:v>Family</x:v>
      </x:c>
      <x:c r="H50" s="180" t="str"/>
      <x:c r="I50" s="180" t="str"/>
      <x:c r="J50" s="180" t="str"/>
      <x:c r="K50" s="180" t="str"/>
      <x:c r="L50" s="180" t="str">
        <x:v>Active</x:v>
      </x:c>
      <x:c r="M50" s="180" t="str">
        <x:v>Facility product verified</x:v>
      </x:c>
      <x:c r="N50" s="186" t="str">
        <x:v>https://careers.westpharma.com/content/France/?locale=en_US</x:v>
      </x:c>
    </x:row>
    <x:row r="51">
      <x:c r="A51" s="185" t="str">
        <x:v>West Pharma. Services IL, Ltd.</x:v>
      </x:c>
      <x:c r="B51" s="180" t="str">
        <x:v>100%-owned subsidiary</x:v>
      </x:c>
      <x:c r="C51" s="180" t="str">
        <x:v>SmartDose</x:v>
      </x:c>
      <x:c r="D51" s="180" t="str">
        <x:v>Self-Injection Devices</x:v>
      </x:c>
      <x:c r="E51" s="180" t="str">
        <x:v>On-body delivery system</x:v>
      </x:c>
      <x:c r="F51" s="180" t="str">
        <x:v>SmartDose 10 On-Body Delivery System</x:v>
      </x:c>
      <x:c r="G51" s="180" t="str">
        <x:v>Family</x:v>
      </x:c>
      <x:c r="H51" s="180" t="str">
        <x:v>Up to 10mL</x:v>
      </x:c>
      <x:c r="I51" s="180" t="str"/>
      <x:c r="J51" s="180" t="str"/>
      <x:c r="K51" s="180" t="str"/>
      <x:c r="L51" s="180" t="str">
        <x:v>Active</x:v>
      </x:c>
      <x:c r="M51" s="180" t="str">
        <x:v>Public family verified</x:v>
      </x:c>
      <x:c r="N51" s="186" t="str">
        <x:v>https://www.westpharma.com/products/self-injection-platforms/10-large-volume-wearable-injector-device</x:v>
      </x:c>
    </x:row>
    <x:row r="52">
      <x:c r="A52" s="185" t="str">
        <x:v>West Pharma. Services IL, Ltd.</x:v>
      </x:c>
      <x:c r="B52" s="180" t="str">
        <x:v>Former West platform</x:v>
      </x:c>
      <x:c r="C52" s="180" t="str">
        <x:v>SmartDose</x:v>
      </x:c>
      <x:c r="D52" s="180" t="str">
        <x:v>Self-Injection Devices</x:v>
      </x:c>
      <x:c r="E52" s="180" t="str">
        <x:v>On-body delivery system</x:v>
      </x:c>
      <x:c r="F52" s="180" t="str">
        <x:v>SmartDose 3.5mL On-Body Delivery System</x:v>
      </x:c>
      <x:c r="G52" s="180" t="str">
        <x:v>Family</x:v>
      </x:c>
      <x:c r="H52" s="180" t="str">
        <x:v>3.5mL</x:v>
      </x:c>
      <x:c r="I52" s="180" t="str"/>
      <x:c r="J52" s="180" t="str"/>
      <x:c r="K52" s="180" t="str"/>
      <x:c r="L52" s="180" t="str">
        <x:v>Divested / rights transferred</x:v>
      </x:c>
      <x:c r="M52" s="180" t="str">
        <x:v>Corporate action verified</x:v>
      </x:c>
      <x:c r="N52" s="186" t="str">
        <x:v>https://investor.westpharma.com/news-releases/news-release-details/west-completes-sale-and-transfer-manufacturing-and-supply-rights</x:v>
      </x:c>
    </x:row>
    <x:row r="53">
      <x:c r="A53" s="185" t="str">
        <x:v>West Pharmaceutical Services, Inc.</x:v>
      </x:c>
      <x:c r="B53" s="180" t="str">
        <x:v>Parent / consolidated</x:v>
      </x:c>
      <x:c r="C53" s="180" t="str">
        <x:v>SelfDose</x:v>
      </x:c>
      <x:c r="D53" s="180" t="str">
        <x:v>Self-Injection Devices</x:v>
      </x:c>
      <x:c r="E53" s="180" t="str">
        <x:v>Patient-controlled injector</x:v>
      </x:c>
      <x:c r="F53" s="180" t="str">
        <x:v>SelfDose Patient-Controlled Injector</x:v>
      </x:c>
      <x:c r="G53" s="180" t="str">
        <x:v>Family</x:v>
      </x:c>
      <x:c r="H53" s="180" t="str"/>
      <x:c r="I53" s="180" t="str"/>
      <x:c r="J53" s="180" t="str"/>
      <x:c r="K53" s="180" t="str"/>
      <x:c r="L53" s="180" t="str">
        <x:v>Active</x:v>
      </x:c>
      <x:c r="M53" s="180" t="str">
        <x:v>Public family verified</x:v>
      </x:c>
      <x:c r="N53" s="186" t="str">
        <x:v>https://www.westpharma.com/products/self-injection-platforms/selfdose</x:v>
      </x:c>
    </x:row>
    <x:row r="54">
      <x:c r="A54" s="185" t="str">
        <x:v>West Pharmaceutical Services, Inc.</x:v>
      </x:c>
      <x:c r="B54" s="180" t="str">
        <x:v>Parent / consolidated</x:v>
      </x:c>
      <x:c r="C54" s="180" t="str"/>
      <x:c r="D54" s="180" t="str">
        <x:v>Specialty Components</x:v>
      </x:c>
      <x:c r="E54" s="180" t="str">
        <x:v>Custom specialty solutions</x:v>
      </x:c>
      <x:c r="F54" s="180" t="str">
        <x:v>Custom Specialty Elastomer Components</x:v>
      </x:c>
      <x:c r="G54" s="180" t="str">
        <x:v>Family</x:v>
      </x:c>
      <x:c r="H54" s="180" t="str"/>
      <x:c r="I54" s="180" t="str"/>
      <x:c r="J54" s="180" t="str"/>
      <x:c r="K54" s="180" t="str"/>
      <x:c r="L54" s="180" t="str">
        <x:v>Active</x:v>
      </x:c>
      <x:c r="M54" s="180" t="str">
        <x:v>Public family / custom capability verified</x:v>
      </x:c>
      <x:c r="N54" s="186" t="str">
        <x:v>https://www.westpharma.com/products/specialty-components</x:v>
      </x:c>
    </x:row>
    <x:row r="55">
      <x:c r="A55" s="185" t="str">
        <x:v>West Pharmaceutical Services, Inc.</x:v>
      </x:c>
      <x:c r="B55" s="180" t="str">
        <x:v>Parent / consolidated</x:v>
      </x:c>
      <x:c r="C55" s="180" t="str"/>
      <x:c r="D55" s="180" t="str">
        <x:v>Specialty Components</x:v>
      </x:c>
      <x:c r="E55" s="180" t="str">
        <x:v>Specialty elastomer components</x:v>
      </x:c>
      <x:c r="F55" s="180" t="str">
        <x:v>Flashback Bulbs for IV Systems</x:v>
      </x:c>
      <x:c r="G55" s="180" t="str">
        <x:v>Family</x:v>
      </x:c>
      <x:c r="H55" s="180" t="str"/>
      <x:c r="I55" s="180" t="str"/>
      <x:c r="J55" s="180" t="str"/>
      <x:c r="K55" s="180" t="str"/>
      <x:c r="L55" s="180" t="str">
        <x:v>Active</x:v>
      </x:c>
      <x:c r="M55" s="180" t="str">
        <x:v>Public family / custom capability verified</x:v>
      </x:c>
      <x:c r="N55" s="186" t="str">
        <x:v>https://www.westpharma.com/products/specialty-components</x:v>
      </x:c>
    </x:row>
    <x:row r="56">
      <x:c r="A56" s="185" t="str">
        <x:v>West Pharmaceutical Services, Inc.</x:v>
      </x:c>
      <x:c r="B56" s="180" t="str">
        <x:v>Parent / consolidated</x:v>
      </x:c>
      <x:c r="C56" s="180" t="str"/>
      <x:c r="D56" s="180" t="str">
        <x:v>Specialty Components</x:v>
      </x:c>
      <x:c r="E56" s="180" t="str">
        <x:v>Specialty elastomer components</x:v>
      </x:c>
      <x:c r="F56" s="180" t="str">
        <x:v>Sleeve Stoppers for IV Systems</x:v>
      </x:c>
      <x:c r="G56" s="180" t="str">
        <x:v>Family</x:v>
      </x:c>
      <x:c r="H56" s="180" t="str"/>
      <x:c r="I56" s="180" t="str"/>
      <x:c r="J56" s="180" t="str"/>
      <x:c r="K56" s="180" t="str"/>
      <x:c r="L56" s="180" t="str">
        <x:v>Active</x:v>
      </x:c>
      <x:c r="M56" s="180" t="str">
        <x:v>Public family / custom capability verified</x:v>
      </x:c>
      <x:c r="N56" s="186" t="str">
        <x:v>https://www.westpharma.com/products/specialty-components</x:v>
      </x:c>
    </x:row>
    <x:row r="57">
      <x:c r="A57" s="185" t="str">
        <x:v>West Pharmaceutical Services, Inc.</x:v>
      </x:c>
      <x:c r="B57" s="180" t="str">
        <x:v>Parent / consolidated</x:v>
      </x:c>
      <x:c r="C57" s="180" t="str">
        <x:v>NovaPure</x:v>
      </x:c>
      <x:c r="D57" s="180" t="str">
        <x:v>Vial Containment Solutions</x:v>
      </x:c>
      <x:c r="E57" s="180" t="str">
        <x:v>Integrated component platform</x:v>
      </x:c>
      <x:c r="F57" s="180" t="str">
        <x:v>NovaPure Components</x:v>
      </x:c>
      <x:c r="G57" s="180" t="str">
        <x:v>Family</x:v>
      </x:c>
      <x:c r="H57" s="180" t="str"/>
      <x:c r="I57" s="180" t="str"/>
      <x:c r="J57" s="180" t="str"/>
      <x:c r="K57" s="180" t="str"/>
      <x:c r="L57" s="180" t="str">
        <x:v>Active</x:v>
      </x:c>
      <x:c r="M57" s="180" t="str">
        <x:v>Public family verified</x:v>
      </x:c>
      <x:c r="N57" s="186" t="str">
        <x:v>https://www.westpharma.com/products/vial-containment-solutions/novapure-components</x:v>
      </x:c>
    </x:row>
    <x:row r="58">
      <x:c r="A58" s="185" t="str">
        <x:v>West Pharmaceutical Services, Inc.</x:v>
      </x:c>
      <x:c r="B58" s="180" t="str">
        <x:v>Parent / consolidated</x:v>
      </x:c>
      <x:c r="C58" s="180" t="str">
        <x:v>AccelTRA</x:v>
      </x:c>
      <x:c r="D58" s="180" t="str">
        <x:v>Vial Containment Solutions</x:v>
      </x:c>
      <x:c r="E58" s="180" t="str">
        <x:v>Rapid-supply stopper platform</x:v>
      </x:c>
      <x:c r="F58" s="180" t="str">
        <x:v>AccelTRA Offer</x:v>
      </x:c>
      <x:c r="G58" s="180" t="str">
        <x:v>Family</x:v>
      </x:c>
      <x:c r="H58" s="180" t="str"/>
      <x:c r="I58" s="180" t="str"/>
      <x:c r="J58" s="180" t="str"/>
      <x:c r="K58" s="180" t="str"/>
      <x:c r="L58" s="180" t="str">
        <x:v>Active</x:v>
      </x:c>
      <x:c r="M58" s="180" t="str">
        <x:v>Public family verified</x:v>
      </x:c>
      <x:c r="N58" s="186" t="str">
        <x:v>https://www.westpharma.com/products/vial-containment-solutions/acceltra-parenteral-drug-delivery-packaging-solutions</x:v>
      </x:c>
    </x:row>
    <x:row r="59">
      <x:c r="A59" s="185" t="str">
        <x:v>West Pharmaceutical Services, Inc.</x:v>
      </x:c>
      <x:c r="B59" s="180" t="str">
        <x:v>Parent / consolidated</x:v>
      </x:c>
      <x:c r="C59" s="180" t="str">
        <x:v>Ready Pack</x:v>
      </x:c>
      <x:c r="D59" s="180" t="str">
        <x:v>Vial Containment Solutions</x:v>
      </x:c>
      <x:c r="E59" s="180" t="str">
        <x:v>Ready-to-use containment kits</x:v>
      </x:c>
      <x:c r="F59" s="180" t="str">
        <x:v>West Ready Pack Containment Solution</x:v>
      </x:c>
      <x:c r="G59" s="180" t="str">
        <x:v>Family</x:v>
      </x:c>
      <x:c r="H59" s="180" t="str"/>
      <x:c r="I59" s="180" t="str"/>
      <x:c r="J59" s="180" t="str"/>
      <x:c r="K59" s="180" t="str"/>
      <x:c r="L59" s="180" t="str">
        <x:v>Active</x:v>
      </x:c>
      <x:c r="M59" s="180" t="str">
        <x:v>Public family verified</x:v>
      </x:c>
      <x:c r="N59" s="186" t="str">
        <x:v>https://www.westpharma.com/products/vial-containment-solutions/ready-to-use-sterile-packaging</x:v>
      </x:c>
    </x:row>
    <x:row r="60">
      <x:c r="A60" s="185" t="str">
        <x:v>West Pharmaceutical Services, Inc.</x:v>
      </x:c>
      <x:c r="B60" s="180" t="str">
        <x:v>Parent / consolidated</x:v>
      </x:c>
      <x:c r="C60" s="180" t="str">
        <x:v>Flip-Off</x:v>
      </x:c>
      <x:c r="D60" s="180" t="str">
        <x:v>Vial Containment Solutions</x:v>
      </x:c>
      <x:c r="E60" s="180" t="str">
        <x:v>Seals</x:v>
      </x:c>
      <x:c r="F60" s="180" t="str">
        <x:v>Flip-Off CCS Seals</x:v>
      </x:c>
      <x:c r="G60" s="180" t="str">
        <x:v>Family</x:v>
      </x:c>
      <x:c r="H60" s="180" t="str"/>
      <x:c r="I60" s="180" t="str"/>
      <x:c r="J60" s="180" t="str"/>
      <x:c r="K60" s="180" t="str"/>
      <x:c r="L60" s="180" t="str">
        <x:v>Active</x:v>
      </x:c>
      <x:c r="M60" s="180" t="str">
        <x:v>Public family verified</x:v>
      </x:c>
      <x:c r="N60" s="186" t="str">
        <x:v>https://www.westpharma.com/products/vial-containment-solutions/seals</x:v>
      </x:c>
    </x:row>
    <x:row r="61">
      <x:c r="A61" s="185" t="str">
        <x:v>West Pharmaceutical Services, Inc.</x:v>
      </x:c>
      <x:c r="B61" s="180" t="str">
        <x:v>Parent / consolidated</x:v>
      </x:c>
      <x:c r="C61" s="180" t="str">
        <x:v>Flip-Off Plus</x:v>
      </x:c>
      <x:c r="D61" s="180" t="str">
        <x:v>Vial Containment Solutions</x:v>
      </x:c>
      <x:c r="E61" s="180" t="str">
        <x:v>Seals</x:v>
      </x:c>
      <x:c r="F61" s="180" t="str">
        <x:v>Flip-Off Plus RU Seals</x:v>
      </x:c>
      <x:c r="G61" s="180" t="str">
        <x:v>Family</x:v>
      </x:c>
      <x:c r="H61" s="180" t="str"/>
      <x:c r="I61" s="180" t="str"/>
      <x:c r="J61" s="180" t="str"/>
      <x:c r="K61" s="180" t="str"/>
      <x:c r="L61" s="180" t="str">
        <x:v>Active</x:v>
      </x:c>
      <x:c r="M61" s="180" t="str">
        <x:v>Public family verified</x:v>
      </x:c>
      <x:c r="N61" s="186" t="str">
        <x:v>https://www.westpharma.com/products/vial-containment-solutions/seals</x:v>
      </x:c>
    </x:row>
    <x:row r="62">
      <x:c r="A62" s="185" t="str">
        <x:v>West Pharmaceutical Services, Inc.</x:v>
      </x:c>
      <x:c r="B62" s="180" t="str">
        <x:v>Parent / consolidated</x:v>
      </x:c>
      <x:c r="C62" s="180" t="str">
        <x:v>Flip-Off</x:v>
      </x:c>
      <x:c r="D62" s="180" t="str">
        <x:v>Vial Containment Solutions</x:v>
      </x:c>
      <x:c r="E62" s="180" t="str">
        <x:v>Seals</x:v>
      </x:c>
      <x:c r="F62" s="180" t="str">
        <x:v>Flip-Off Seals</x:v>
      </x:c>
      <x:c r="G62" s="180" t="str">
        <x:v>Family</x:v>
      </x:c>
      <x:c r="H62" s="180" t="str"/>
      <x:c r="I62" s="180" t="str"/>
      <x:c r="J62" s="180" t="str"/>
      <x:c r="K62" s="180" t="str"/>
      <x:c r="L62" s="180" t="str">
        <x:v>Active</x:v>
      </x:c>
      <x:c r="M62" s="180" t="str">
        <x:v>Public family verified</x:v>
      </x:c>
      <x:c r="N62" s="186" t="str">
        <x:v>https://www.westpharma.com/products/vial-containment-solutions/seals</x:v>
      </x:c>
    </x:row>
    <x:row r="63">
      <x:c r="A63" s="185" t="str">
        <x:v>West Pharmaceutical Services, Inc.</x:v>
      </x:c>
      <x:c r="B63" s="180" t="str">
        <x:v>Parent / consolidated</x:v>
      </x:c>
      <x:c r="C63" s="180" t="str">
        <x:v>West Spectra</x:v>
      </x:c>
      <x:c r="D63" s="180" t="str">
        <x:v>Vial Containment Solutions</x:v>
      </x:c>
      <x:c r="E63" s="180" t="str">
        <x:v>Seals</x:v>
      </x:c>
      <x:c r="F63" s="180" t="str">
        <x:v>West Spectra Seals</x:v>
      </x:c>
      <x:c r="G63" s="180" t="str">
        <x:v>Family</x:v>
      </x:c>
      <x:c r="H63" s="180" t="str"/>
      <x:c r="I63" s="180" t="str"/>
      <x:c r="J63" s="180" t="str"/>
      <x:c r="K63" s="180" t="str"/>
      <x:c r="L63" s="180" t="str">
        <x:v>Active</x:v>
      </x:c>
      <x:c r="M63" s="180" t="str">
        <x:v>Public family verified</x:v>
      </x:c>
      <x:c r="N63" s="186" t="str">
        <x:v>https://www.westpharma.com/products/vial-containment-solutions/seals</x:v>
      </x:c>
    </x:row>
    <x:row r="64">
      <x:c r="A64" s="185" t="str">
        <x:v>West Pharmaceutical Services, Inc.</x:v>
      </x:c>
      <x:c r="B64" s="180" t="str">
        <x:v>Parent / consolidated</x:v>
      </x:c>
      <x:c r="C64" s="180" t="str">
        <x:v>PLASCAP</x:v>
      </x:c>
      <x:c r="D64" s="180" t="str">
        <x:v>Vial Containment Solutions</x:v>
      </x:c>
      <x:c r="E64" s="180" t="str">
        <x:v>Seals and integrated closures</x:v>
      </x:c>
      <x:c r="F64" s="180" t="str">
        <x:v>Daikyo PLASCAP RUV Closures</x:v>
      </x:c>
      <x:c r="G64" s="180" t="str">
        <x:v>Family</x:v>
      </x:c>
      <x:c r="H64" s="180" t="str"/>
      <x:c r="I64" s="180" t="str"/>
      <x:c r="J64" s="180" t="str"/>
      <x:c r="K64" s="180" t="str"/>
      <x:c r="L64" s="180" t="str">
        <x:v>Active</x:v>
      </x:c>
      <x:c r="M64" s="180" t="str">
        <x:v>Public family verified</x:v>
      </x:c>
      <x:c r="N64" s="186" t="str">
        <x:v>https://www.westpharma.com/products/vial-containment-solutions/seals</x:v>
      </x:c>
    </x:row>
    <x:row r="65">
      <x:c r="A65" s="185" t="str">
        <x:v>West Pharmaceutical Services, Inc.</x:v>
      </x:c>
      <x:c r="B65" s="180" t="str">
        <x:v>Parent / consolidated</x:v>
      </x:c>
      <x:c r="C65" s="180" t="str">
        <x:v>Westar Select</x:v>
      </x:c>
      <x:c r="D65" s="180" t="str">
        <x:v>Vial Containment Solutions</x:v>
      </x:c>
      <x:c r="E65" s="180" t="str">
        <x:v>Stoppers</x:v>
      </x:c>
      <x:c r="F65" s="180" t="str">
        <x:v>4031/45 Westar Select Stoppers for Animal Health</x:v>
      </x:c>
      <x:c r="G65" s="180" t="str">
        <x:v>Family</x:v>
      </x:c>
      <x:c r="H65" s="180" t="str"/>
      <x:c r="I65" s="180" t="str"/>
      <x:c r="J65" s="180" t="str"/>
      <x:c r="K65" s="180" t="str"/>
      <x:c r="L65" s="180" t="str">
        <x:v>Active</x:v>
      </x:c>
      <x:c r="M65" s="180" t="str">
        <x:v>Public family verified</x:v>
      </x:c>
      <x:c r="N65" s="186" t="str">
        <x:v>https://www.westpharma.com/products/vial-containment-solutions/stoppers</x:v>
      </x:c>
    </x:row>
    <x:row r="66">
      <x:c r="A66" s="185" t="str">
        <x:v>West Pharmaceutical Services, Inc.</x:v>
      </x:c>
      <x:c r="B66" s="180" t="str">
        <x:v>Parent / consolidated</x:v>
      </x:c>
      <x:c r="C66" s="180" t="str">
        <x:v>LyoTec</x:v>
      </x:c>
      <x:c r="D66" s="180" t="str">
        <x:v>Vial Containment Solutions</x:v>
      </x:c>
      <x:c r="E66" s="180" t="str">
        <x:v>Stoppers</x:v>
      </x:c>
      <x:c r="F66" s="180" t="str">
        <x:v>4040 LyoTec Stoppers</x:v>
      </x:c>
      <x:c r="G66" s="180" t="str">
        <x:v>Family</x:v>
      </x:c>
      <x:c r="H66" s="180" t="str"/>
      <x:c r="I66" s="180" t="str"/>
      <x:c r="J66" s="180" t="str"/>
      <x:c r="K66" s="180" t="str"/>
      <x:c r="L66" s="180" t="str">
        <x:v>Active</x:v>
      </x:c>
      <x:c r="M66" s="180" t="str">
        <x:v>Public family verified</x:v>
      </x:c>
      <x:c r="N66" s="186" t="str">
        <x:v>https://www.westpharma.com/products/vial-containment-solutions/stoppers</x:v>
      </x:c>
    </x:row>
    <x:row r="67">
      <x:c r="A67" s="185" t="str">
        <x:v>West Pharmaceutical Services, Inc.</x:v>
      </x:c>
      <x:c r="B67" s="180" t="str">
        <x:v>Parent / consolidated</x:v>
      </x:c>
      <x:c r="C67" s="180" t="str">
        <x:v>Daikyo D Sigma</x:v>
      </x:c>
      <x:c r="D67" s="180" t="str">
        <x:v>Vial Containment Solutions</x:v>
      </x:c>
      <x:c r="E67" s="180" t="str">
        <x:v>Stoppers</x:v>
      </x:c>
      <x:c r="F67" s="180" t="str">
        <x:v>Daikyo D Sigma Stoppers</x:v>
      </x:c>
      <x:c r="G67" s="180" t="str">
        <x:v>Family</x:v>
      </x:c>
      <x:c r="H67" s="180" t="str"/>
      <x:c r="I67" s="180" t="str"/>
      <x:c r="J67" s="180" t="str"/>
      <x:c r="K67" s="180" t="str"/>
      <x:c r="L67" s="180" t="str">
        <x:v>Active</x:v>
      </x:c>
      <x:c r="M67" s="180" t="str">
        <x:v>Public family verified</x:v>
      </x:c>
      <x:c r="N67" s="186" t="str">
        <x:v>https://www.westpharma.com/products/vial-containment-solutions/stoppers</x:v>
      </x:c>
    </x:row>
    <x:row r="68">
      <x:c r="A68" s="185" t="str">
        <x:v>West Pharmaceutical Services, Inc.</x:v>
      </x:c>
      <x:c r="B68" s="180" t="str">
        <x:v>Parent / consolidated</x:v>
      </x:c>
      <x:c r="C68" s="180" t="str">
        <x:v>Daikyo RUV / RSV</x:v>
      </x:c>
      <x:c r="D68" s="180" t="str">
        <x:v>Vial Containment Solutions</x:v>
      </x:c>
      <x:c r="E68" s="180" t="str">
        <x:v>Stoppers</x:v>
      </x:c>
      <x:c r="F68" s="180" t="str">
        <x:v>Daikyo RUV and RSV Stoppers</x:v>
      </x:c>
      <x:c r="G68" s="180" t="str">
        <x:v>Family</x:v>
      </x:c>
      <x:c r="H68" s="180" t="str"/>
      <x:c r="I68" s="180" t="str"/>
      <x:c r="J68" s="180" t="str"/>
      <x:c r="K68" s="180" t="str"/>
      <x:c r="L68" s="180" t="str">
        <x:v>Active</x:v>
      </x:c>
      <x:c r="M68" s="180" t="str">
        <x:v>Public family verified</x:v>
      </x:c>
      <x:c r="N68" s="186" t="str">
        <x:v>https://www.westpharma.com/products/vial-containment-solutions/stoppers</x:v>
      </x:c>
    </x:row>
    <x:row r="69">
      <x:c r="A69" s="185" t="str">
        <x:v>West Pharmaceutical Services, Inc.</x:v>
      </x:c>
      <x:c r="B69" s="180" t="str">
        <x:v>Parent / consolidated</x:v>
      </x:c>
      <x:c r="C69" s="180" t="str">
        <x:v>Envision</x:v>
      </x:c>
      <x:c r="D69" s="180" t="str">
        <x:v>Vial Containment Solutions</x:v>
      </x:c>
      <x:c r="E69" s="180" t="str">
        <x:v>Stoppers</x:v>
      </x:c>
      <x:c r="F69" s="180" t="str">
        <x:v>Envision Verified Stoppers</x:v>
      </x:c>
      <x:c r="G69" s="180" t="str">
        <x:v>Family</x:v>
      </x:c>
      <x:c r="H69" s="180" t="str"/>
      <x:c r="I69" s="180" t="str"/>
      <x:c r="J69" s="180" t="str"/>
      <x:c r="K69" s="180" t="str"/>
      <x:c r="L69" s="180" t="str">
        <x:v>Active</x:v>
      </x:c>
      <x:c r="M69" s="180" t="str">
        <x:v>Public family verified</x:v>
      </x:c>
      <x:c r="N69" s="186" t="str">
        <x:v>https://www.westpharma.com/products/vial-containment-solutions/stoppers</x:v>
      </x:c>
    </x:row>
    <x:row r="70">
      <x:c r="A70" s="185" t="str">
        <x:v>West Pharmaceutical Services, Inc.</x:v>
      </x:c>
      <x:c r="B70" s="180" t="str">
        <x:v>Parent / consolidated</x:v>
      </x:c>
      <x:c r="C70" s="180" t="str">
        <x:v>FluroTec</x:v>
      </x:c>
      <x:c r="D70" s="180" t="str">
        <x:v>Vial Containment Solutions</x:v>
      </x:c>
      <x:c r="E70" s="180" t="str">
        <x:v>Stoppers</x:v>
      </x:c>
      <x:c r="F70" s="180" t="str">
        <x:v>FluroTec Barrier Film Stoppers</x:v>
      </x:c>
      <x:c r="G70" s="180" t="str">
        <x:v>Family</x:v>
      </x:c>
      <x:c r="H70" s="180" t="str"/>
      <x:c r="I70" s="180" t="str"/>
      <x:c r="J70" s="180" t="str"/>
      <x:c r="K70" s="180" t="str"/>
      <x:c r="L70" s="180" t="str">
        <x:v>Active</x:v>
      </x:c>
      <x:c r="M70" s="180" t="str">
        <x:v>Public family verified</x:v>
      </x:c>
      <x:c r="N70" s="186" t="str">
        <x:v>https://www.westpharma.com/products/vial-containment-solutions/stoppers</x:v>
      </x:c>
    </x:row>
    <x:row r="71">
      <x:c r="A71" s="185" t="str">
        <x:v>West Pharmaceutical Services, Inc.</x:v>
      </x:c>
      <x:c r="B71" s="180" t="str">
        <x:v>Parent / consolidated</x:v>
      </x:c>
      <x:c r="C71" s="180" t="str">
        <x:v>LyoTec</x:v>
      </x:c>
      <x:c r="D71" s="180" t="str">
        <x:v>Vial Containment Solutions</x:v>
      </x:c>
      <x:c r="E71" s="180" t="str">
        <x:v>Stoppers</x:v>
      </x:c>
      <x:c r="F71" s="180" t="str">
        <x:v>LyoTec Stoppers</x:v>
      </x:c>
      <x:c r="G71" s="180" t="str">
        <x:v>Family</x:v>
      </x:c>
      <x:c r="H71" s="180" t="str"/>
      <x:c r="I71" s="180" t="str"/>
      <x:c r="J71" s="180" t="str"/>
      <x:c r="K71" s="180" t="str"/>
      <x:c r="L71" s="180" t="str">
        <x:v>Active</x:v>
      </x:c>
      <x:c r="M71" s="180" t="str">
        <x:v>Public family verified</x:v>
      </x:c>
      <x:c r="N71" s="186" t="str">
        <x:v>https://www.westpharma.com/products/vial-containment-solutions/stoppers</x:v>
      </x:c>
    </x:row>
    <x:row r="72">
      <x:c r="A72" s="185" t="str">
        <x:v>West Pharmaceutical Services, Inc.</x:v>
      </x:c>
      <x:c r="B72" s="180" t="str">
        <x:v>Parent / consolidated</x:v>
      </x:c>
      <x:c r="C72" s="180" t="str">
        <x:v>NovaPure</x:v>
      </x:c>
      <x:c r="D72" s="180" t="str">
        <x:v>Vial Containment Solutions</x:v>
      </x:c>
      <x:c r="E72" s="180" t="str">
        <x:v>Stoppers</x:v>
      </x:c>
      <x:c r="F72" s="180" t="str">
        <x:v>NovaPure Stoppers</x:v>
      </x:c>
      <x:c r="G72" s="180" t="str">
        <x:v>Family</x:v>
      </x:c>
      <x:c r="H72" s="180" t="str"/>
      <x:c r="I72" s="180" t="str"/>
      <x:c r="J72" s="180" t="str"/>
      <x:c r="K72" s="180" t="str"/>
      <x:c r="L72" s="180" t="str">
        <x:v>Active</x:v>
      </x:c>
      <x:c r="M72" s="180" t="str">
        <x:v>Public family verified</x:v>
      </x:c>
      <x:c r="N72" s="186" t="str">
        <x:v>https://www.westpharma.com/products/vial-containment-solutions/stoppers</x:v>
      </x:c>
    </x:row>
    <x:row r="73">
      <x:c r="A73" s="185" t="str">
        <x:v>West Pharmaceutical Services, Inc.</x:v>
      </x:c>
      <x:c r="B73" s="180" t="str">
        <x:v>Parent / consolidated</x:v>
      </x:c>
      <x:c r="C73" s="180" t="str">
        <x:v>Westar</x:v>
      </x:c>
      <x:c r="D73" s="180" t="str">
        <x:v>Vial Containment Solutions</x:v>
      </x:c>
      <x:c r="E73" s="180" t="str">
        <x:v>Stoppers</x:v>
      </x:c>
      <x:c r="F73" s="180" t="str">
        <x:v>Stoppers with Westar Quality Level</x:v>
      </x:c>
      <x:c r="G73" s="180" t="str">
        <x:v>Family</x:v>
      </x:c>
      <x:c r="H73" s="180" t="str"/>
      <x:c r="I73" s="180" t="str"/>
      <x:c r="J73" s="180" t="str"/>
      <x:c r="K73" s="180" t="str"/>
      <x:c r="L73" s="180" t="str">
        <x:v>Active</x:v>
      </x:c>
      <x:c r="M73" s="180" t="str">
        <x:v>Public family verified</x:v>
      </x:c>
      <x:c r="N73" s="186" t="str">
        <x:v>https://www.westpharma.com/products/vial-containment-solutions/stoppers</x:v>
      </x:c>
    </x:row>
    <x:row r="74">
      <x:c r="A74" s="185" t="str">
        <x:v>West Pharmaceutical Services, Inc.</x:v>
      </x:c>
      <x:c r="B74" s="180" t="str">
        <x:v>Parent / consolidated</x:v>
      </x:c>
      <x:c r="C74" s="180" t="str">
        <x:v>Westar Select</x:v>
      </x:c>
      <x:c r="D74" s="180" t="str">
        <x:v>Vial Containment Solutions</x:v>
      </x:c>
      <x:c r="E74" s="180" t="str">
        <x:v>Stoppers</x:v>
      </x:c>
      <x:c r="F74" s="180" t="str">
        <x:v>Stoppers with Westar Select Quality Level</x:v>
      </x:c>
      <x:c r="G74" s="180" t="str">
        <x:v>Family</x:v>
      </x:c>
      <x:c r="H74" s="180" t="str"/>
      <x:c r="I74" s="180" t="str"/>
      <x:c r="J74" s="180" t="str"/>
      <x:c r="K74" s="180" t="str"/>
      <x:c r="L74" s="180" t="str">
        <x:v>Active</x:v>
      </x:c>
      <x:c r="M74" s="180" t="str">
        <x:v>Public family verified</x:v>
      </x:c>
      <x:c r="N74" s="186" t="str">
        <x:v>https://www.westpharma.com/products/vial-containment-solutions/stoppers</x:v>
      </x:c>
    </x:row>
    <x:row r="75">
      <x:c r="A75" s="185" t="str">
        <x:v>West Pharmaceutical Services, Inc.</x:v>
      </x:c>
      <x:c r="B75" s="180" t="str">
        <x:v>Parent / consolidated</x:v>
      </x:c>
      <x:c r="C75" s="180" t="str">
        <x:v>Corning Valor</x:v>
      </x:c>
      <x:c r="D75" s="180" t="str">
        <x:v>Vial Containment Solutions</x:v>
      </x:c>
      <x:c r="E75" s="180" t="str">
        <x:v>Vials</x:v>
      </x:c>
      <x:c r="F75" s="180" t="str">
        <x:v>Corning Valor Glass Vials</x:v>
      </x:c>
      <x:c r="G75" s="180" t="str">
        <x:v>Family</x:v>
      </x:c>
      <x:c r="H75" s="180" t="str"/>
      <x:c r="I75" s="180" t="str"/>
      <x:c r="J75" s="180" t="str"/>
      <x:c r="K75" s="180" t="str"/>
      <x:c r="L75" s="180" t="str">
        <x:v>Active</x:v>
      </x:c>
      <x:c r="M75" s="180" t="str">
        <x:v>Public family verified</x:v>
      </x:c>
      <x:c r="N75" s="186" t="str">
        <x:v>https://www.westpharma.com/products/vial-containment-solutions/vials</x:v>
      </x:c>
    </x:row>
    <x:row r="76">
      <x:c r="A76" s="185" t="str">
        <x:v>West Pharmaceutical Services, Inc.</x:v>
      </x:c>
      <x:c r="B76" s="180" t="str">
        <x:v>Parent / consolidated</x:v>
      </x:c>
      <x:c r="C76" s="180" t="str">
        <x:v>Daikyo Crystal Zenith</x:v>
      </x:c>
      <x:c r="D76" s="180" t="str">
        <x:v>Vial Containment Solutions</x:v>
      </x:c>
      <x:c r="E76" s="180" t="str">
        <x:v>Vials</x:v>
      </x:c>
      <x:c r="F76" s="180" t="str">
        <x:v>Daikyo Crystal Zenith Vials</x:v>
      </x:c>
      <x:c r="G76" s="180" t="str">
        <x:v>Family</x:v>
      </x:c>
      <x:c r="H76" s="180" t="str"/>
      <x:c r="I76" s="180" t="str"/>
      <x:c r="J76" s="180" t="str"/>
      <x:c r="K76" s="180" t="str"/>
      <x:c r="L76" s="180" t="str">
        <x:v>Active</x:v>
      </x:c>
      <x:c r="M76" s="180" t="str">
        <x:v>Public family verified</x:v>
      </x:c>
      <x:c r="N76" s="186" t="str">
        <x:v>https://www.westpharma.com/products/vial-containment-solutions/vials</x:v>
      </x:c>
    </x:row>
    <x:row r="77">
      <x:c r="A77" s="185" t="str">
        <x:v>West Pharmaceutical Services, Inc.</x:v>
      </x:c>
      <x:c r="B77" s="180" t="str">
        <x:v>Parent / consolidated</x:v>
      </x:c>
      <x:c r="C77" s="180" t="str">
        <x:v>SCHOTT adaptiQ</x:v>
      </x:c>
      <x:c r="D77" s="180" t="str">
        <x:v>Vial Containment Solutions</x:v>
      </x:c>
      <x:c r="E77" s="180" t="str">
        <x:v>Vials</x:v>
      </x:c>
      <x:c r="F77" s="180" t="str">
        <x:v>SCHOTT adaptiQ Vials</x:v>
      </x:c>
      <x:c r="G77" s="180" t="str">
        <x:v>Family</x:v>
      </x:c>
      <x:c r="H77" s="180" t="str"/>
      <x:c r="I77" s="180" t="str"/>
      <x:c r="J77" s="180" t="str"/>
      <x:c r="K77" s="180" t="str"/>
      <x:c r="L77" s="180" t="str">
        <x:v>Active</x:v>
      </x:c>
      <x:c r="M77" s="180" t="str">
        <x:v>Public family verified</x:v>
      </x:c>
      <x:c r="N77" s="186" t="str">
        <x:v>https://www.westpharma.com/products/vial-containment-solutions/vials</x:v>
      </x:c>
    </x:row>
    <x:row r="78">
      <x:c r="A78" s="185" t="str">
        <x:v>West Pharmaceutical Services, Inc.</x:v>
      </x:c>
      <x:c r="B78" s="180" t="str">
        <x:v>Parent / consolidated</x:v>
      </x:c>
      <x:c r="C78" s="180" t="str">
        <x:v>SG EZ-fill</x:v>
      </x:c>
      <x:c r="D78" s="180" t="str">
        <x:v>Vial Containment Solutions</x:v>
      </x:c>
      <x:c r="E78" s="180" t="str">
        <x:v>Vials</x:v>
      </x:c>
      <x:c r="F78" s="180" t="str">
        <x:v>SG EZ-fill Vials</x:v>
      </x:c>
      <x:c r="G78" s="180" t="str">
        <x:v>Family</x:v>
      </x:c>
      <x:c r="H78" s="180" t="str"/>
      <x:c r="I78" s="180" t="str"/>
      <x:c r="J78" s="180" t="str"/>
      <x:c r="K78" s="180" t="str"/>
      <x:c r="L78" s="180" t="str">
        <x:v>Active</x:v>
      </x:c>
      <x:c r="M78" s="180" t="str">
        <x:v>Public family verified</x:v>
      </x:c>
      <x:c r="N78" s="186" t="str">
        <x:v>https://www.westpharma.com/products/vial-containment-solutions/vials</x:v>
      </x:c>
    </x:row>
    <x:row r="79">
      <x:c r="A79" s="185" t="str">
        <x:v>West Pharma. Services IL, Ltd.</x:v>
      </x:c>
      <x:c r="B79" s="180" t="str">
        <x:v>100%-owned subsidiary</x:v>
      </x:c>
      <x:c r="C79" s="180" t="str">
        <x:v>Mix2Vial</x:v>
      </x:c>
      <x:c r="D79" s="180" t="str">
        <x:v>Vial Transfer Devices</x:v>
      </x:c>
      <x:c r="E79" s="180" t="str">
        <x:v>Reconstitution and transfer</x:v>
      </x:c>
      <x:c r="F79" s="180" t="str">
        <x:v>Mix2Vial Transfer Device</x:v>
      </x:c>
      <x:c r="G79" s="180" t="str">
        <x:v>Family</x:v>
      </x:c>
      <x:c r="H79" s="180" t="str">
        <x:v>20mm stopper compatibility</x:v>
      </x:c>
      <x:c r="I79" s="180" t="str"/>
      <x:c r="J79" s="180" t="str"/>
      <x:c r="K79" s="180" t="str"/>
      <x:c r="L79" s="180" t="str">
        <x:v>Active</x:v>
      </x:c>
      <x:c r="M79" s="180" t="str">
        <x:v>Public family verified</x:v>
      </x:c>
      <x:c r="N79" s="186" t="str">
        <x:v>https://www.westpharma.com/products/vial-transfer-devices/mix2vial-transfer-device</x:v>
      </x:c>
    </x:row>
    <x:row r="80">
      <x:c r="A80" s="185" t="str">
        <x:v>West Pharma. Services IL, Ltd.</x:v>
      </x:c>
      <x:c r="B80" s="180" t="str">
        <x:v>100%-owned subsidiary</x:v>
      </x:c>
      <x:c r="C80" s="180" t="str">
        <x:v>MixJect</x:v>
      </x:c>
      <x:c r="D80" s="180" t="str">
        <x:v>Vial Transfer Devices</x:v>
      </x:c>
      <x:c r="E80" s="180" t="str">
        <x:v>Reconstitution and transfer</x:v>
      </x:c>
      <x:c r="F80" s="180" t="str">
        <x:v>MixJect Transfer Device 13mm</x:v>
      </x:c>
      <x:c r="G80" s="180" t="str">
        <x:v>Family</x:v>
      </x:c>
      <x:c r="H80" s="180" t="str">
        <x:v>13mm</x:v>
      </x:c>
      <x:c r="I80" s="180" t="str"/>
      <x:c r="J80" s="180" t="str"/>
      <x:c r="K80" s="180" t="str"/>
      <x:c r="L80" s="180" t="str">
        <x:v>Active</x:v>
      </x:c>
      <x:c r="M80" s="180" t="str">
        <x:v>Public family verified</x:v>
      </x:c>
      <x:c r="N80" s="186" t="str">
        <x:v>https://www.westpharma.com/products/vial-transfer-devices/mixject-transfer-device</x:v>
      </x:c>
    </x:row>
    <x:row r="81">
      <x:c r="A81" s="185" t="str">
        <x:v>West Pharma. Services IL, Ltd.</x:v>
      </x:c>
      <x:c r="B81" s="180" t="str">
        <x:v>100%-owned subsidiary</x:v>
      </x:c>
      <x:c r="C81" s="180" t="str">
        <x:v>MixJect</x:v>
      </x:c>
      <x:c r="D81" s="180" t="str">
        <x:v>Vial Transfer Devices</x:v>
      </x:c>
      <x:c r="E81" s="180" t="str">
        <x:v>Reconstitution and transfer</x:v>
      </x:c>
      <x:c r="F81" s="180" t="str">
        <x:v>MixJect Transfer Device 20mm</x:v>
      </x:c>
      <x:c r="G81" s="180" t="str">
        <x:v>Family</x:v>
      </x:c>
      <x:c r="H81" s="180" t="str">
        <x:v>20mm</x:v>
      </x:c>
      <x:c r="I81" s="180" t="str"/>
      <x:c r="J81" s="180" t="str"/>
      <x:c r="K81" s="180" t="str"/>
      <x:c r="L81" s="180" t="str">
        <x:v>Active</x:v>
      </x:c>
      <x:c r="M81" s="180" t="str">
        <x:v>Public family verified</x:v>
      </x:c>
      <x:c r="N81" s="186" t="str">
        <x:v>https://www.westpharma.com/products/vial-transfer-devices/mixject-transfer-device</x:v>
      </x:c>
    </x:row>
    <x:row r="82">
      <x:c r="A82" s="185" t="str">
        <x:v>West Pharma. Services IL, Ltd.</x:v>
      </x:c>
      <x:c r="B82" s="180" t="str">
        <x:v>100%-owned subsidiary</x:v>
      </x:c>
      <x:c r="C82" s="180" t="str">
        <x:v>Vial Adapter</x:v>
      </x:c>
      <x:c r="D82" s="180" t="str">
        <x:v>Vial Transfer Devices</x:v>
      </x:c>
      <x:c r="E82" s="180" t="str">
        <x:v>Reconstitution and transfer</x:v>
      </x:c>
      <x:c r="F82" s="180" t="str">
        <x:v>Swabable Vial Adapter Transfer Device</x:v>
      </x:c>
      <x:c r="G82" s="180" t="str">
        <x:v>Family</x:v>
      </x:c>
      <x:c r="H82" s="180" t="str">
        <x:v>Configurable</x:v>
      </x:c>
      <x:c r="I82" s="180" t="str"/>
      <x:c r="J82" s="180" t="str"/>
      <x:c r="K82" s="180" t="str"/>
      <x:c r="L82" s="180" t="str">
        <x:v>Active</x:v>
      </x:c>
      <x:c r="M82" s="180" t="str">
        <x:v>Public family verified</x:v>
      </x:c>
      <x:c r="N82" s="186" t="str">
        <x:v>https://www.westpharma.com/products/vial-transfer-devices/vented-swabable-syringe-vial-adapters</x:v>
      </x:c>
    </x:row>
    <x:row r="83">
      <x:c r="A83" s="185" t="str">
        <x:v>West Pharma. Services IL, Ltd.</x:v>
      </x:c>
      <x:c r="B83" s="180" t="str">
        <x:v>100%-owned subsidiary</x:v>
      </x:c>
      <x:c r="C83" s="180" t="str">
        <x:v>Vial Adapter</x:v>
      </x:c>
      <x:c r="D83" s="180" t="str">
        <x:v>Vial Transfer Devices</x:v>
      </x:c>
      <x:c r="E83" s="180" t="str">
        <x:v>Reconstitution and transfer</x:v>
      </x:c>
      <x:c r="F83" s="180" t="str">
        <x:v>Vented Vial Adapter Transfer Device</x:v>
      </x:c>
      <x:c r="G83" s="180" t="str">
        <x:v>Family</x:v>
      </x:c>
      <x:c r="H83" s="180" t="str">
        <x:v>Configurable</x:v>
      </x:c>
      <x:c r="I83" s="180" t="str"/>
      <x:c r="J83" s="180" t="str"/>
      <x:c r="K83" s="180" t="str"/>
      <x:c r="L83" s="180" t="str">
        <x:v>Active</x:v>
      </x:c>
      <x:c r="M83" s="180" t="str">
        <x:v>Public family verified</x:v>
      </x:c>
      <x:c r="N83" s="186" t="str">
        <x:v>https://www.westpharma.com/products/vial-transfer-devices/vented-swabable-syringe-vial-adapters</x:v>
      </x:c>
    </x:row>
    <x:row r="84">
      <x:c r="A84" s="185" t="str">
        <x:v>West Pharma. Services IL, Ltd.</x:v>
      </x:c>
      <x:c r="B84" s="180" t="str">
        <x:v>100%-owned subsidiary</x:v>
      </x:c>
      <x:c r="C84" s="180" t="str">
        <x:v>Vial Adapter</x:v>
      </x:c>
      <x:c r="D84" s="180" t="str">
        <x:v>Vial Transfer Devices</x:v>
      </x:c>
      <x:c r="E84" s="180" t="str">
        <x:v>Reconstitution and transfer</x:v>
      </x:c>
      <x:c r="F84" s="180" t="str">
        <x:v>Vial Adapter Transfer Device</x:v>
      </x:c>
      <x:c r="G84" s="180" t="str">
        <x:v>Family</x:v>
      </x:c>
      <x:c r="H84" s="180" t="str">
        <x:v>Configurable</x:v>
      </x:c>
      <x:c r="I84" s="180" t="str"/>
      <x:c r="J84" s="180" t="str"/>
      <x:c r="K84" s="180" t="str"/>
      <x:c r="L84" s="180" t="str">
        <x:v>Active</x:v>
      </x:c>
      <x:c r="M84" s="180" t="str">
        <x:v>Public family verified</x:v>
      </x:c>
      <x:c r="N84" s="186" t="str">
        <x:v>https://www.westpharma.com/products/vial-transfer-devices/vented-swabable-syringe-vial-adapters</x:v>
      </x:c>
    </x:row>
    <x:row r="85">
      <x:c r="A85" s="185" t="str">
        <x:v>West Pharma. Services IL, Ltd.</x:v>
      </x:c>
      <x:c r="B85" s="180" t="str">
        <x:v>100%-owned subsidiary</x:v>
      </x:c>
      <x:c r="C85" s="180" t="str">
        <x:v>Vial2Bag Advanced</x:v>
      </x:c>
      <x:c r="D85" s="180" t="str">
        <x:v>Vial Transfer Devices</x:v>
      </x:c>
      <x:c r="E85" s="180" t="str">
        <x:v>Reconstitution and transfer</x:v>
      </x:c>
      <x:c r="F85" s="180" t="str">
        <x:v>Vial2Bag Advanced 13mm Admixture Device</x:v>
      </x:c>
      <x:c r="G85" s="180" t="str">
        <x:v>Family</x:v>
      </x:c>
      <x:c r="H85" s="180" t="str">
        <x:v>13mm</x:v>
      </x:c>
      <x:c r="I85" s="180" t="str"/>
      <x:c r="J85" s="180" t="str"/>
      <x:c r="K85" s="180" t="str"/>
      <x:c r="L85" s="180" t="str">
        <x:v>Active</x:v>
      </x:c>
      <x:c r="M85" s="180" t="str">
        <x:v>Public family verified</x:v>
      </x:c>
      <x:c r="N85" s="186" t="str">
        <x:v>https://www.westpharma.com/products/vial-transfer-devices/vial2bag-advanced-admixture-devices</x:v>
      </x:c>
    </x:row>
    <x:row r="86">
      <x:c r="A86" s="185" t="str">
        <x:v>West Pharma. Services IL, Ltd.</x:v>
      </x:c>
      <x:c r="B86" s="180" t="str">
        <x:v>100%-owned subsidiary</x:v>
      </x:c>
      <x:c r="C86" s="180" t="str">
        <x:v>Vial2Bag Advanced</x:v>
      </x:c>
      <x:c r="D86" s="180" t="str">
        <x:v>Vial Transfer Devices</x:v>
      </x:c>
      <x:c r="E86" s="180" t="str">
        <x:v>Reconstitution and transfer</x:v>
      </x:c>
      <x:c r="F86" s="180" t="str">
        <x:v>Vial2Bag Advanced 20mm Admixture Device</x:v>
      </x:c>
      <x:c r="G86" s="180" t="str">
        <x:v>Family</x:v>
      </x:c>
      <x:c r="H86" s="180" t="str">
        <x:v>20mm</x:v>
      </x:c>
      <x:c r="I86" s="180" t="str"/>
      <x:c r="J86" s="180" t="str"/>
      <x:c r="K86" s="180" t="str"/>
      <x:c r="L86" s="180" t="str">
        <x:v>Active</x:v>
      </x:c>
      <x:c r="M86" s="180" t="str">
        <x:v>Public family verified</x:v>
      </x:c>
      <x:c r="N86" s="186" t="str">
        <x:v>https://www.westpharma.com/products/vial-transfer-devices/vial2bag-advanced-admixture-devices</x:v>
      </x:c>
    </x:row>
    <x:row r="87">
      <x:c r="A87" s="187" t="str">
        <x:v>West Pharma. Services IL, Ltd.</x:v>
      </x:c>
      <x:c r="B87" s="188" t="str">
        <x:v>100%-owned subsidiary</x:v>
      </x:c>
      <x:c r="C87" s="188" t="str">
        <x:v>Vial2Bag</x:v>
      </x:c>
      <x:c r="D87" s="188" t="str">
        <x:v>Vial Transfer Devices</x:v>
      </x:c>
      <x:c r="E87" s="188" t="str">
        <x:v>Reconstitution and transfer</x:v>
      </x:c>
      <x:c r="F87" s="188" t="str">
        <x:v>Vial2Bag DC Device</x:v>
      </x:c>
      <x:c r="G87" s="188" t="str">
        <x:v>Family</x:v>
      </x:c>
      <x:c r="H87" s="188" t="str"/>
      <x:c r="I87" s="188" t="str"/>
      <x:c r="J87" s="188" t="str"/>
      <x:c r="K87" s="188" t="str"/>
      <x:c r="L87" s="188" t="str">
        <x:v>Discontinued / replaced</x:v>
      </x:c>
      <x:c r="M87" s="188" t="str">
        <x:v>Official legacy status verified</x:v>
      </x:c>
      <x:c r="N87" s="189" t="str">
        <x:v>https://www.westpharma.com/products/vial-transfer-devices/vial2bag-advanced-admixture-devices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2d4284e1d9e340b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6" hidden="0" customWidth="1"/>
    <x:col min="4" max="4" width="48" hidden="0" customWidth="1"/>
    <x:col min="5" max="5" width="18" hidden="0" customWidth="1"/>
    <x:col min="6" max="6" width="18" hidden="0" customWidth="1"/>
    <x:col min="7" max="7" width="50" hidden="0" customWidth="1"/>
    <x:col min="8" max="8" width="24" hidden="0" customWidth="1"/>
    <x:col min="9" max="9" width="26" hidden="0" customWidth="1"/>
  </x:cols>
  <x:sheetData>
    <x:row r="1" ht="30" customHeight="1">
      <x:c r="A1" s="222" t="str">
        <x:v>Change Log</x:v>
      </x:c>
      <x:c r="B1" s="5"/>
      <x:c r="C1" s="5"/>
      <x:c r="D1" s="5"/>
      <x:c r="E1" s="5"/>
      <x:c r="F1" s="5"/>
      <x:c r="G1" s="5"/>
      <x:c r="H1" s="5"/>
      <x:c r="I1" s="5"/>
    </x:row>
    <x:row r="2" ht="38" customHeight="1">
      <x:c r="A2" s="13" t="str">
        <x:v>Initial seed rows appear as Added. Future runs record field-level Added, Modified, Removed and Reappeared events.</x:v>
      </x:c>
      <x:c r="B2" s="13"/>
      <x:c r="C2" s="13"/>
      <x:c r="D2" s="13"/>
      <x:c r="E2" s="13"/>
      <x:c r="F2" s="13"/>
      <x:c r="G2" s="13"/>
      <x:c r="H2" s="13"/>
      <x:c r="I2" s="13"/>
    </x:row>
    <x:row r="4">
      <x:c r="A4" s="121" t="str">
        <x:v>Change ID</x:v>
      </x:c>
      <x:c r="B4" s="121" t="str">
        <x:v>Snapshot ID</x:v>
      </x:c>
      <x:c r="C4" s="121" t="str">
        <x:v>Product Key</x:v>
      </x:c>
      <x:c r="D4" s="121" t="str">
        <x:v>Product Name</x:v>
      </x:c>
      <x:c r="E4" s="121" t="str">
        <x:v>Item Number</x:v>
      </x:c>
      <x:c r="F4" s="121" t="str">
        <x:v>Change Type</x:v>
      </x:c>
      <x:c r="G4" s="121" t="str">
        <x:v>Changed Fields</x:v>
      </x:c>
      <x:c r="H4" s="121" t="str">
        <x:v>Detected At</x:v>
      </x:c>
      <x:c r="I4" s="121" t="str">
        <x:v>Review Status</x:v>
      </x:c>
    </x:row>
    <x:row r="5">
      <x:c r="A5" s="182" t="n">
        <x:v>151</x:v>
      </x:c>
      <x:c r="B5" s="183" t="n">
        <x:v>1</x:v>
      </x:c>
      <x:c r="C5" s="183" t="str">
        <x:v>sku:K062482</x:v>
      </x:c>
      <x:c r="D5" s="183" t="str">
        <x:v>Vented Vial Adapter Transfer Device — FDA K062482</x:v>
      </x:c>
      <x:c r="E5" s="183" t="str">
        <x:v>K062482</x:v>
      </x:c>
      <x:c r="F5" s="183" t="str">
        <x:v>Added</x:v>
      </x:c>
      <x:c r="G5" s="183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5" s="183" t="n">
        <x:v>46224.942662037036</x:v>
      </x:c>
      <x:c r="I5" s="184" t="str">
        <x:v>Unreviewed</x:v>
      </x:c>
    </x:row>
    <x:row r="6">
      <x:c r="A6" s="185" t="n">
        <x:v>150</x:v>
      </x:c>
      <x:c r="B6" s="180" t="n">
        <x:v>1</x:v>
      </x:c>
      <x:c r="C6" s="180" t="str">
        <x:v>sku:K230988</x:v>
      </x:c>
      <x:c r="D6" s="180" t="str">
        <x:v>Vial2Bag Advanced 13mm Admixture Device — FDA K230988</x:v>
      </x:c>
      <x:c r="E6" s="180" t="str">
        <x:v>K230988</x:v>
      </x:c>
      <x:c r="F6" s="180" t="str">
        <x:v>Added</x:v>
      </x:c>
      <x:c r="G6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6" s="180" t="n">
        <x:v>46224.942662037036</x:v>
      </x:c>
      <x:c r="I6" s="186" t="str">
        <x:v>Unreviewed</x:v>
      </x:c>
    </x:row>
    <x:row r="7">
      <x:c r="A7" s="185" t="n">
        <x:v>149</x:v>
      </x:c>
      <x:c r="B7" s="180" t="n">
        <x:v>1</x:v>
      </x:c>
      <x:c r="C7" s="180" t="str">
        <x:v>sku:100015062</x:v>
      </x:c>
      <x:c r="D7" s="180" t="str">
        <x:v>1mL Long NovaPure RU Plungers Small Pack</x:v>
      </x:c>
      <x:c r="E7" s="180" t="str">
        <x:v>100015062</x:v>
      </x:c>
      <x:c r="F7" s="180" t="str">
        <x:v>Added</x:v>
      </x:c>
      <x:c r="G7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7" s="180" t="n">
        <x:v>46224.942662037036</x:v>
      </x:c>
      <x:c r="I7" s="186" t="str">
        <x:v>Unreviewed</x:v>
      </x:c>
    </x:row>
    <x:row r="8">
      <x:c r="A8" s="185" t="n">
        <x:v>148</x:v>
      </x:c>
      <x:c r="B8" s="180" t="n">
        <x:v>1</x:v>
      </x:c>
      <x:c r="C8" s="180" t="str">
        <x:v>sku:11101452</x:v>
      </x:c>
      <x:c r="D8" s="180" t="str">
        <x:v>3mL NovaPure RTU Cartridge Plungers</x:v>
      </x:c>
      <x:c r="E8" s="180" t="str">
        <x:v>11101452</x:v>
      </x:c>
      <x:c r="F8" s="180" t="str">
        <x:v>Added</x:v>
      </x:c>
      <x:c r="G8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8" s="180" t="n">
        <x:v>46224.942662037036</x:v>
      </x:c>
      <x:c r="I8" s="186" t="str">
        <x:v>Unreviewed</x:v>
      </x:c>
    </x:row>
    <x:row r="9">
      <x:c r="A9" s="185" t="n">
        <x:v>147</x:v>
      </x:c>
      <x:c r="B9" s="180" t="n">
        <x:v>1</x:v>
      </x:c>
      <x:c r="C9" s="180" t="str">
        <x:v>sku:100012585</x:v>
      </x:c>
      <x:c r="D9" s="180" t="str">
        <x:v>Corning Valor 10R RTU Vials</x:v>
      </x:c>
      <x:c r="E9" s="180" t="str">
        <x:v>100012585</x:v>
      </x:c>
      <x:c r="F9" s="180" t="str">
        <x:v>Added</x:v>
      </x:c>
      <x:c r="G9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9" s="180" t="n">
        <x:v>46224.942662037036</x:v>
      </x:c>
      <x:c r="I9" s="186" t="str">
        <x:v>Unreviewed</x:v>
      </x:c>
    </x:row>
    <x:row r="10">
      <x:c r="A10" s="185" t="n">
        <x:v>146</x:v>
      </x:c>
      <x:c r="B10" s="180" t="n">
        <x:v>1</x:v>
      </x:c>
      <x:c r="C10" s="180" t="str">
        <x:v>sku:54131001</x:v>
      </x:c>
      <x:c r="D10" s="180" t="str">
        <x:v>13mm Flip-Off White Seals</x:v>
      </x:c>
      <x:c r="E10" s="180" t="str">
        <x:v>54131001</x:v>
      </x:c>
      <x:c r="F10" s="180" t="str">
        <x:v>Added</x:v>
      </x:c>
      <x:c r="G10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0" s="180" t="n">
        <x:v>46224.942662037036</x:v>
      </x:c>
      <x:c r="I10" s="186" t="str">
        <x:v>Unreviewed</x:v>
      </x:c>
    </x:row>
    <x:row r="11">
      <x:c r="A11" s="185" t="n">
        <x:v>145</x:v>
      </x:c>
      <x:c r="B11" s="180" t="n">
        <x:v>1</x:v>
      </x:c>
      <x:c r="C11" s="180" t="str">
        <x:v>sku:19550209</x:v>
      </x:c>
      <x:c r="D11" s="180" t="str">
        <x:v>Daikyo Crystal Zenith 5mL RTU Polymer Vial</x:v>
      </x:c>
      <x:c r="E11" s="180" t="str">
        <x:v>19550209</x:v>
      </x:c>
      <x:c r="F11" s="180" t="str">
        <x:v>Added</x:v>
      </x:c>
      <x:c r="G11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1" s="180" t="n">
        <x:v>46224.942662037036</x:v>
      </x:c>
      <x:c r="I11" s="186" t="str">
        <x:v>Unreviewed</x:v>
      </x:c>
    </x:row>
    <x:row r="12">
      <x:c r="A12" s="185" t="n">
        <x:v>144</x:v>
      </x:c>
      <x:c r="B12" s="180" t="n">
        <x:v>1</x:v>
      </x:c>
      <x:c r="C12" s="180" t="str">
        <x:v>sku:100012900</x:v>
      </x:c>
      <x:c r="D12" s="180" t="str">
        <x:v>Corning Valor 2R Bulk Vials Tray</x:v>
      </x:c>
      <x:c r="E12" s="180" t="str">
        <x:v>100012900</x:v>
      </x:c>
      <x:c r="F12" s="180" t="str">
        <x:v>Added</x:v>
      </x:c>
      <x:c r="G12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2" s="180" t="n">
        <x:v>46224.942662037036</x:v>
      </x:c>
      <x:c r="I12" s="186" t="str">
        <x:v>Unreviewed</x:v>
      </x:c>
    </x:row>
    <x:row r="13">
      <x:c r="A13" s="185" t="n">
        <x:v>143</x:v>
      </x:c>
      <x:c r="B13" s="180" t="n">
        <x:v>1</x:v>
      </x:c>
      <x:c r="C13" s="180" t="str">
        <x:v>sku:100012583</x:v>
      </x:c>
      <x:c r="D13" s="180" t="str">
        <x:v>Corning Valor 6R RTU Vials</x:v>
      </x:c>
      <x:c r="E13" s="180" t="str">
        <x:v>100012583</x:v>
      </x:c>
      <x:c r="F13" s="180" t="str">
        <x:v>Added</x:v>
      </x:c>
      <x:c r="G13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3" s="180" t="n">
        <x:v>46224.942662037036</x:v>
      </x:c>
      <x:c r="I13" s="186" t="str">
        <x:v>Unreviewed</x:v>
      </x:c>
    </x:row>
    <x:row r="14">
      <x:c r="A14" s="185" t="n">
        <x:v>142</x:v>
      </x:c>
      <x:c r="B14" s="180" t="n">
        <x:v>1</x:v>
      </x:c>
      <x:c r="C14" s="180" t="str">
        <x:v>sku:100010424</x:v>
      </x:c>
      <x:c r="D14" s="180" t="str">
        <x:v>1mL Long NovaPure RTU Bromobutyl Plungers</x:v>
      </x:c>
      <x:c r="E14" s="180" t="str">
        <x:v>100010424</x:v>
      </x:c>
      <x:c r="F14" s="180" t="str">
        <x:v>Added</x:v>
      </x:c>
      <x:c r="G14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4" s="180" t="n">
        <x:v>46224.942662037036</x:v>
      </x:c>
      <x:c r="I14" s="186" t="str">
        <x:v>Unreviewed</x:v>
      </x:c>
    </x:row>
    <x:row r="15">
      <x:c r="A15" s="185" t="n">
        <x:v>141</x:v>
      </x:c>
      <x:c r="B15" s="180" t="n">
        <x:v>1</x:v>
      </x:c>
      <x:c r="C15" s="180" t="str">
        <x:v>sku:54202432</x:v>
      </x:c>
      <x:c r="D15" s="180" t="str">
        <x:v>20mm Flip-Off Green Seals</x:v>
      </x:c>
      <x:c r="E15" s="180" t="str">
        <x:v>54202432</x:v>
      </x:c>
      <x:c r="F15" s="180" t="str">
        <x:v>Added</x:v>
      </x:c>
      <x:c r="G15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5" s="180" t="n">
        <x:v>46224.942662037036</x:v>
      </x:c>
      <x:c r="I15" s="186" t="str">
        <x:v>Unreviewed</x:v>
      </x:c>
    </x:row>
    <x:row r="16">
      <x:c r="A16" s="185" t="n">
        <x:v>140</x:v>
      </x:c>
      <x:c r="B16" s="180" t="n">
        <x:v>1</x:v>
      </x:c>
      <x:c r="C16" s="180" t="str">
        <x:v>sku:100014446</x:v>
      </x:c>
      <x:c r="D16" s="180" t="str">
        <x:v>13mm Flip-Off CCS White Seals Small Pack</x:v>
      </x:c>
      <x:c r="E16" s="180" t="str">
        <x:v>100014446</x:v>
      </x:c>
      <x:c r="F16" s="180" t="str">
        <x:v>Added</x:v>
      </x:c>
      <x:c r="G16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6" s="180" t="n">
        <x:v>46224.942662037036</x:v>
      </x:c>
      <x:c r="I16" s="186" t="str">
        <x:v>Unreviewed</x:v>
      </x:c>
    </x:row>
    <x:row r="17">
      <x:c r="A17" s="185" t="n">
        <x:v>139</x:v>
      </x:c>
      <x:c r="B17" s="180" t="n">
        <x:v>1</x:v>
      </x:c>
      <x:c r="C17" s="180" t="str">
        <x:v>sku:19700311</x:v>
      </x:c>
      <x:c r="D17" s="180" t="str">
        <x:v>20mm NovaPure RU Chlorobutyl 4432/50 Lyo Stoppers</x:v>
      </x:c>
      <x:c r="E17" s="180" t="str">
        <x:v>19700311</x:v>
      </x:c>
      <x:c r="F17" s="180" t="str">
        <x:v>Added</x:v>
      </x:c>
      <x:c r="G17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7" s="180" t="n">
        <x:v>46224.942662037036</x:v>
      </x:c>
      <x:c r="I17" s="186" t="str">
        <x:v>Unreviewed</x:v>
      </x:c>
    </x:row>
    <x:row r="18">
      <x:c r="A18" s="185" t="n">
        <x:v>138</x:v>
      </x:c>
      <x:c r="B18" s="180" t="n">
        <x:v>1</x:v>
      </x:c>
      <x:c r="C18" s="180" t="str">
        <x:v>sku:11101409</x:v>
      </x:c>
      <x:c r="D18" s="180" t="str">
        <x:v>1-3mL NovaPure RTU Bromobutyl 4023/50 Plungers</x:v>
      </x:c>
      <x:c r="E18" s="180" t="str">
        <x:v>11101409</x:v>
      </x:c>
      <x:c r="F18" s="180" t="str">
        <x:v>Added</x:v>
      </x:c>
      <x:c r="G18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8" s="180" t="n">
        <x:v>46224.942662037036</x:v>
      </x:c>
      <x:c r="I18" s="186" t="str">
        <x:v>Unreviewed</x:v>
      </x:c>
    </x:row>
    <x:row r="19">
      <x:c r="A19" s="185" t="n">
        <x:v>137</x:v>
      </x:c>
      <x:c r="B19" s="180" t="n">
        <x:v>1</x:v>
      </x:c>
      <x:c r="C19" s="180" t="str">
        <x:v>sku:10149806</x:v>
      </x:c>
      <x:c r="D19" s="180" t="str">
        <x:v>1mL Long FluroTec Film-Laminated RTU Bromobutyl 4023/50 Plungers</x:v>
      </x:c>
      <x:c r="E19" s="180" t="str">
        <x:v>10149806</x:v>
      </x:c>
      <x:c r="F19" s="180" t="str">
        <x:v>Added</x:v>
      </x:c>
      <x:c r="G19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9" s="180" t="n">
        <x:v>46224.942662037036</x:v>
      </x:c>
      <x:c r="I19" s="186" t="str">
        <x:v>Unreviewed</x:v>
      </x:c>
    </x:row>
    <x:row r="20">
      <x:c r="A20" s="185" t="n">
        <x:v>136</x:v>
      </x:c>
      <x:c r="B20" s="180" t="n">
        <x:v>1</x:v>
      </x:c>
      <x:c r="C20" s="180" t="str">
        <x:v>sku:10122743</x:v>
      </x:c>
      <x:c r="D20" s="180" t="str">
        <x:v>13mm Westar Select RS Lyo Bromobutyl 4023/50 FluroTec Envision Stoppers</x:v>
      </x:c>
      <x:c r="E20" s="180" t="str">
        <x:v>10122743</x:v>
      </x:c>
      <x:c r="F20" s="180" t="str">
        <x:v>Added</x:v>
      </x:c>
      <x:c r="G20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20" s="180" t="n">
        <x:v>46224.942662037036</x:v>
      </x:c>
      <x:c r="I20" s="186" t="str">
        <x:v>Unreviewed</x:v>
      </x:c>
    </x:row>
    <x:row r="21">
      <x:c r="A21" s="185" t="n">
        <x:v>135</x:v>
      </x:c>
      <x:c r="B21" s="180" t="n">
        <x:v>1</x:v>
      </x:c>
      <x:c r="C21" s="180" t="str">
        <x:v>sku:100012682</x:v>
      </x:c>
      <x:c r="D21" s="180" t="str">
        <x:v>Corning Valor 20R RTU Vials</x:v>
      </x:c>
      <x:c r="E21" s="180" t="str">
        <x:v>100012682</x:v>
      </x:c>
      <x:c r="F21" s="180" t="str">
        <x:v>Added</x:v>
      </x:c>
      <x:c r="G21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21" s="180" t="n">
        <x:v>46224.942662037036</x:v>
      </x:c>
      <x:c r="I21" s="186" t="str">
        <x:v>Unreviewed</x:v>
      </x:c>
    </x:row>
    <x:row r="22">
      <x:c r="A22" s="185" t="n">
        <x:v>134</x:v>
      </x:c>
      <x:c r="B22" s="180" t="n">
        <x:v>1</x:v>
      </x:c>
      <x:c r="C22" s="180" t="str">
        <x:v>sku:100015069</x:v>
      </x:c>
      <x:c r="D22" s="180" t="str">
        <x:v>13mm NovaPure RU Bromobutyl Lyo Stoppers</x:v>
      </x:c>
      <x:c r="E22" s="180" t="str">
        <x:v>100015069</x:v>
      </x:c>
      <x:c r="F22" s="180" t="str">
        <x:v>Added</x:v>
      </x:c>
      <x:c r="G22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22" s="180" t="n">
        <x:v>46224.942662037036</x:v>
      </x:c>
      <x:c r="I22" s="186" t="str">
        <x:v>Unreviewed</x:v>
      </x:c>
    </x:row>
    <x:row r="23">
      <x:c r="A23" s="185" t="n">
        <x:v>133</x:v>
      </x:c>
      <x:c r="B23" s="180" t="n">
        <x:v>1</x:v>
      </x:c>
      <x:c r="C23" s="180" t="str">
        <x:v>sku:10145417</x:v>
      </x:c>
      <x:c r="D23" s="180" t="str">
        <x:v>20mm Westar Select RS Serum Bromobutyl 4023/50 FluroTec Envision Stoppers</x:v>
      </x:c>
      <x:c r="E23" s="180" t="str">
        <x:v>10145417</x:v>
      </x:c>
      <x:c r="F23" s="180" t="str">
        <x:v>Added</x:v>
      </x:c>
      <x:c r="G23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23" s="180" t="n">
        <x:v>46224.942662037036</x:v>
      </x:c>
      <x:c r="I23" s="186" t="str">
        <x:v>Unreviewed</x:v>
      </x:c>
    </x:row>
    <x:row r="24">
      <x:c r="A24" s="185" t="n">
        <x:v>132</x:v>
      </x:c>
      <x:c r="B24" s="180" t="n">
        <x:v>1</x:v>
      </x:c>
      <x:c r="C24" s="180" t="str">
        <x:v>sku:19700317</x:v>
      </x:c>
      <x:c r="D24" s="180" t="str">
        <x:v>13mm NovaPure RS Chlorobutyl Serum Stoppers</x:v>
      </x:c>
      <x:c r="E24" s="180" t="str">
        <x:v>19700317</x:v>
      </x:c>
      <x:c r="F24" s="180" t="str">
        <x:v>Added</x:v>
      </x:c>
      <x:c r="G24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24" s="180" t="n">
        <x:v>46224.942662037036</x:v>
      </x:c>
      <x:c r="I24" s="186" t="str">
        <x:v>Unreviewed</x:v>
      </x:c>
    </x:row>
    <x:row r="25">
      <x:c r="A25" s="185" t="n">
        <x:v>131</x:v>
      </x:c>
      <x:c r="B25" s="180" t="n">
        <x:v>1</x:v>
      </x:c>
      <x:c r="C25" s="180" t="str">
        <x:v>sku:19700365</x:v>
      </x:c>
      <x:c r="D25" s="180" t="str">
        <x:v>20mm NovaPure RU Bromobutyl Lyo Stoppers</x:v>
      </x:c>
      <x:c r="E25" s="180" t="str">
        <x:v>19700365</x:v>
      </x:c>
      <x:c r="F25" s="180" t="str">
        <x:v>Added</x:v>
      </x:c>
      <x:c r="G25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25" s="180" t="n">
        <x:v>46224.942662037036</x:v>
      </x:c>
      <x:c r="I25" s="186" t="str">
        <x:v>Unreviewed</x:v>
      </x:c>
    </x:row>
    <x:row r="26">
      <x:c r="A26" s="185" t="n">
        <x:v>130</x:v>
      </x:c>
      <x:c r="B26" s="180" t="n">
        <x:v>1</x:v>
      </x:c>
      <x:c r="C26" s="180" t="str">
        <x:v>sku:100014583</x:v>
      </x:c>
      <x:c r="D26" s="180" t="str">
        <x:v>13mm NovaPure RU Bromobutyl Serum Stoppers</x:v>
      </x:c>
      <x:c r="E26" s="180" t="str">
        <x:v>100014583</x:v>
      </x:c>
      <x:c r="F26" s="180" t="str">
        <x:v>Added</x:v>
      </x:c>
      <x:c r="G26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26" s="180" t="n">
        <x:v>46224.942662037036</x:v>
      </x:c>
      <x:c r="I26" s="186" t="str">
        <x:v>Unreviewed</x:v>
      </x:c>
    </x:row>
    <x:row r="27">
      <x:c r="A27" s="185" t="n">
        <x:v>129</x:v>
      </x:c>
      <x:c r="B27" s="180" t="n">
        <x:v>1</x:v>
      </x:c>
      <x:c r="C27" s="180" t="str">
        <x:v>sku:100013519</x:v>
      </x:c>
      <x:c r="D27" s="180" t="str">
        <x:v>1mL Long NovaPure RU Bromobutyl Syringe Plungers</x:v>
      </x:c>
      <x:c r="E27" s="180" t="str">
        <x:v>100013519</x:v>
      </x:c>
      <x:c r="F27" s="180" t="str">
        <x:v>Added</x:v>
      </x:c>
      <x:c r="G27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27" s="180" t="n">
        <x:v>46224.942662037036</x:v>
      </x:c>
      <x:c r="I27" s="186" t="str">
        <x:v>Unreviewed</x:v>
      </x:c>
    </x:row>
    <x:row r="28">
      <x:c r="A28" s="185" t="n">
        <x:v>128</x:v>
      </x:c>
      <x:c r="B28" s="180" t="n">
        <x:v>1</x:v>
      </x:c>
      <x:c r="C28" s="180" t="str">
        <x:v>sku:19700308</x:v>
      </x:c>
      <x:c r="D28" s="180" t="str">
        <x:v>13mm NovaPure RU Chlorobutyl Lyo Stoppers</x:v>
      </x:c>
      <x:c r="E28" s="180" t="str">
        <x:v>19700308</x:v>
      </x:c>
      <x:c r="F28" s="180" t="str">
        <x:v>Added</x:v>
      </x:c>
      <x:c r="G28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28" s="180" t="n">
        <x:v>46224.942662037036</x:v>
      </x:c>
      <x:c r="I28" s="186" t="str">
        <x:v>Unreviewed</x:v>
      </x:c>
    </x:row>
    <x:row r="29">
      <x:c r="A29" s="185" t="n">
        <x:v>127</x:v>
      </x:c>
      <x:c r="B29" s="180" t="n">
        <x:v>1</x:v>
      </x:c>
      <x:c r="C29" s="180" t="str">
        <x:v>sku:100013103</x:v>
      </x:c>
      <x:c r="D29" s="180" t="str">
        <x:v>SCHOTT adaptiQ 6R RTU Vials Tray</x:v>
      </x:c>
      <x:c r="E29" s="180" t="str">
        <x:v>100013103</x:v>
      </x:c>
      <x:c r="F29" s="180" t="str">
        <x:v>Added</x:v>
      </x:c>
      <x:c r="G29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29" s="180" t="n">
        <x:v>46224.942662037036</x:v>
      </x:c>
      <x:c r="I29" s="186" t="str">
        <x:v>Unreviewed</x:v>
      </x:c>
    </x:row>
    <x:row r="30">
      <x:c r="A30" s="185" t="n">
        <x:v>126</x:v>
      </x:c>
      <x:c r="B30" s="180" t="n">
        <x:v>1</x:v>
      </x:c>
      <x:c r="C30" s="180" t="str">
        <x:v>sku:100015061</x:v>
      </x:c>
      <x:c r="D30" s="180" t="str">
        <x:v>20mm NovaPure RU Chlorobutyl Serum Stoppers</x:v>
      </x:c>
      <x:c r="E30" s="180" t="str">
        <x:v>100015061</x:v>
      </x:c>
      <x:c r="F30" s="180" t="str">
        <x:v>Added</x:v>
      </x:c>
      <x:c r="G30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30" s="180" t="n">
        <x:v>46224.942662037036</x:v>
      </x:c>
      <x:c r="I30" s="186" t="str">
        <x:v>Unreviewed</x:v>
      </x:c>
    </x:row>
    <x:row r="31">
      <x:c r="A31" s="185" t="n">
        <x:v>125</x:v>
      </x:c>
      <x:c r="B31" s="180" t="n">
        <x:v>1</x:v>
      </x:c>
      <x:c r="C31" s="180" t="str">
        <x:v>sku:70025023</x:v>
      </x:c>
      <x:c r="D31" s="180" t="str">
        <x:v>20mm NovaPure RS Bromobutyl 4023/50 Lyo Stoppers</x:v>
      </x:c>
      <x:c r="E31" s="180" t="str">
        <x:v>70025023</x:v>
      </x:c>
      <x:c r="F31" s="180" t="str">
        <x:v>Added</x:v>
      </x:c>
      <x:c r="G31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31" s="180" t="n">
        <x:v>46224.942662037036</x:v>
      </x:c>
      <x:c r="I31" s="186" t="str">
        <x:v>Unreviewed</x:v>
      </x:c>
    </x:row>
    <x:row r="32">
      <x:c r="A32" s="185" t="n">
        <x:v>124</x:v>
      </x:c>
      <x:c r="B32" s="180" t="n">
        <x:v>1</x:v>
      </x:c>
      <x:c r="C32" s="180" t="str">
        <x:v>sku:100013132</x:v>
      </x:c>
      <x:c r="D32" s="180" t="str">
        <x:v>Corning Valor 2R RTU Vials Nest and Tub</x:v>
      </x:c>
      <x:c r="E32" s="180" t="str">
        <x:v>100013132</x:v>
      </x:c>
      <x:c r="F32" s="180" t="str">
        <x:v>Added</x:v>
      </x:c>
      <x:c r="G32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32" s="180" t="n">
        <x:v>46224.942662037036</x:v>
      </x:c>
      <x:c r="I32" s="186" t="str">
        <x:v>Unreviewed</x:v>
      </x:c>
    </x:row>
    <x:row r="33">
      <x:c r="A33" s="185" t="n">
        <x:v>123</x:v>
      </x:c>
      <x:c r="B33" s="180" t="n">
        <x:v>1</x:v>
      </x:c>
      <x:c r="C33" s="180" t="str">
        <x:v>sku:100013101</x:v>
      </x:c>
      <x:c r="D33" s="180" t="str">
        <x:v>SCHOTT adaptiQ 2R RTU Vials Tray</x:v>
      </x:c>
      <x:c r="E33" s="180" t="str">
        <x:v>100013101</x:v>
      </x:c>
      <x:c r="F33" s="180" t="str">
        <x:v>Added</x:v>
      </x:c>
      <x:c r="G33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33" s="180" t="n">
        <x:v>46224.942662037036</x:v>
      </x:c>
      <x:c r="I33" s="186" t="str">
        <x:v>Unreviewed</x:v>
      </x:c>
    </x:row>
    <x:row r="34">
      <x:c r="A34" s="185" t="n">
        <x:v>122</x:v>
      </x:c>
      <x:c r="B34" s="180" t="n">
        <x:v>1</x:v>
      </x:c>
      <x:c r="C34" s="180" t="str">
        <x:v>sku:54202053</x:v>
      </x:c>
      <x:c r="D34" s="180" t="str">
        <x:v>20mm Flip-Off Gray Seals</x:v>
      </x:c>
      <x:c r="E34" s="180" t="str">
        <x:v>54202053</x:v>
      </x:c>
      <x:c r="F34" s="180" t="str">
        <x:v>Added</x:v>
      </x:c>
      <x:c r="G34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34" s="180" t="n">
        <x:v>46224.942662037036</x:v>
      </x:c>
      <x:c r="I34" s="186" t="str">
        <x:v>Unreviewed</x:v>
      </x:c>
    </x:row>
    <x:row r="35">
      <x:c r="A35" s="185" t="n">
        <x:v>121</x:v>
      </x:c>
      <x:c r="B35" s="180" t="n">
        <x:v>1</x:v>
      </x:c>
      <x:c r="C35" s="180" t="str">
        <x:v>sku:100014445</x:v>
      </x:c>
      <x:c r="D35" s="180" t="str">
        <x:v>13mm Flip-Off CCS Blue Seals 100 Pieces</x:v>
      </x:c>
      <x:c r="E35" s="180" t="str">
        <x:v>100014445</x:v>
      </x:c>
      <x:c r="F35" s="180" t="str">
        <x:v>Added</x:v>
      </x:c>
      <x:c r="G35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35" s="180" t="n">
        <x:v>46224.942662037036</x:v>
      </x:c>
      <x:c r="I35" s="186" t="str">
        <x:v>Unreviewed</x:v>
      </x:c>
    </x:row>
    <x:row r="36">
      <x:c r="A36" s="185" t="n">
        <x:v>120</x:v>
      </x:c>
      <x:c r="B36" s="180" t="n">
        <x:v>1</x:v>
      </x:c>
      <x:c r="C36" s="180" t="str">
        <x:v>sku:100010460</x:v>
      </x:c>
      <x:c r="D36" s="180" t="str">
        <x:v>1-3mL NovaPure RTU Bromobutyl 4023/50 Syringe Plungers</x:v>
      </x:c>
      <x:c r="E36" s="180" t="str">
        <x:v>100010460</x:v>
      </x:c>
      <x:c r="F36" s="180" t="str">
        <x:v>Added</x:v>
      </x:c>
      <x:c r="G36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36" s="180" t="n">
        <x:v>46224.942662037036</x:v>
      </x:c>
      <x:c r="I36" s="186" t="str">
        <x:v>Unreviewed</x:v>
      </x:c>
    </x:row>
    <x:row r="37">
      <x:c r="A37" s="185" t="n">
        <x:v>119</x:v>
      </x:c>
      <x:c r="B37" s="180" t="n">
        <x:v>1</x:v>
      </x:c>
      <x:c r="C37" s="180" t="str">
        <x:v>sku:100012999</x:v>
      </x:c>
      <x:c r="D37" s="180" t="str">
        <x:v>SCHOTT adaptiQ 10R RTU Vials Cup Nest</x:v>
      </x:c>
      <x:c r="E37" s="180" t="str">
        <x:v>100012999</x:v>
      </x:c>
      <x:c r="F37" s="180" t="str">
        <x:v>Added</x:v>
      </x:c>
      <x:c r="G37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37" s="180" t="n">
        <x:v>46224.942662037036</x:v>
      </x:c>
      <x:c r="I37" s="186" t="str">
        <x:v>Unreviewed</x:v>
      </x:c>
    </x:row>
    <x:row r="38">
      <x:c r="A38" s="185" t="n">
        <x:v>118</x:v>
      </x:c>
      <x:c r="B38" s="180" t="n">
        <x:v>1</x:v>
      </x:c>
      <x:c r="C38" s="180" t="str">
        <x:v>sku:10123792</x:v>
      </x:c>
      <x:c r="D38" s="180" t="str">
        <x:v>13mm V50I LyoTec Westar Select RS Chlorobutyl 4040/40 Gray B2 Lyo Stopper</x:v>
      </x:c>
      <x:c r="E38" s="180" t="str">
        <x:v>10123792</x:v>
      </x:c>
      <x:c r="F38" s="180" t="str">
        <x:v>Added</x:v>
      </x:c>
      <x:c r="G38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38" s="180" t="n">
        <x:v>46224.942662037036</x:v>
      </x:c>
      <x:c r="I38" s="186" t="str">
        <x:v>Unreviewed</x:v>
      </x:c>
    </x:row>
    <x:row r="39">
      <x:c r="A39" s="185" t="n">
        <x:v>117</x:v>
      </x:c>
      <x:c r="B39" s="180" t="n">
        <x:v>1</x:v>
      </x:c>
      <x:c r="C39" s="180" t="str">
        <x:v>sku:54130506</x:v>
      </x:c>
      <x:c r="D39" s="180" t="str">
        <x:v>13mm Flip-Off Violet Seals</x:v>
      </x:c>
      <x:c r="E39" s="180" t="str">
        <x:v>54130506</x:v>
      </x:c>
      <x:c r="F39" s="180" t="str">
        <x:v>Added</x:v>
      </x:c>
      <x:c r="G39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39" s="180" t="n">
        <x:v>46224.942662037036</x:v>
      </x:c>
      <x:c r="I39" s="186" t="str">
        <x:v>Unreviewed</x:v>
      </x:c>
    </x:row>
    <x:row r="40">
      <x:c r="A40" s="185" t="n">
        <x:v>116</x:v>
      </x:c>
      <x:c r="B40" s="180" t="n">
        <x:v>1</x:v>
      </x:c>
      <x:c r="C40" s="180" t="str">
        <x:v>sku:100015056</x:v>
      </x:c>
      <x:c r="D40" s="180" t="str">
        <x:v>1-3mL NovaPure RTU Bromobutyl Syringe Plungers</x:v>
      </x:c>
      <x:c r="E40" s="180" t="str">
        <x:v>100015056</x:v>
      </x:c>
      <x:c r="F40" s="180" t="str">
        <x:v>Added</x:v>
      </x:c>
      <x:c r="G40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40" s="180" t="n">
        <x:v>46224.942662037036</x:v>
      </x:c>
      <x:c r="I40" s="186" t="str">
        <x:v>Unreviewed</x:v>
      </x:c>
    </x:row>
    <x:row r="41">
      <x:c r="A41" s="185" t="n">
        <x:v>115</x:v>
      </x:c>
      <x:c r="B41" s="180" t="n">
        <x:v>1</x:v>
      </x:c>
      <x:c r="C41" s="180" t="str">
        <x:v>sku:100015058</x:v>
      </x:c>
      <x:c r="D41" s="180" t="str">
        <x:v>20mm NovaPure RU Bromobutyl 4023/50 Lyo Stoppers</x:v>
      </x:c>
      <x:c r="E41" s="180" t="str">
        <x:v>100015058</x:v>
      </x:c>
      <x:c r="F41" s="180" t="str">
        <x:v>Added</x:v>
      </x:c>
      <x:c r="G41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41" s="180" t="n">
        <x:v>46224.942662037036</x:v>
      </x:c>
      <x:c r="I41" s="186" t="str">
        <x:v>Unreviewed</x:v>
      </x:c>
    </x:row>
    <x:row r="42">
      <x:c r="A42" s="185" t="n">
        <x:v>114</x:v>
      </x:c>
      <x:c r="B42" s="180" t="n">
        <x:v>1</x:v>
      </x:c>
      <x:c r="C42" s="180" t="str">
        <x:v>sku:100012921</x:v>
      </x:c>
      <x:c r="D42" s="180" t="str">
        <x:v>Corning Valor 6R Bulk Vials Tray</x:v>
      </x:c>
      <x:c r="E42" s="180" t="str">
        <x:v>100012921</x:v>
      </x:c>
      <x:c r="F42" s="180" t="str">
        <x:v>Added</x:v>
      </x:c>
      <x:c r="G42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42" s="180" t="n">
        <x:v>46224.942662037036</x:v>
      </x:c>
      <x:c r="I42" s="186" t="str">
        <x:v>Unreviewed</x:v>
      </x:c>
    </x:row>
    <x:row r="43">
      <x:c r="A43" s="185" t="n">
        <x:v>113</x:v>
      </x:c>
      <x:c r="B43" s="180" t="n">
        <x:v>1</x:v>
      </x:c>
      <x:c r="C43" s="180" t="str">
        <x:v>sku:19560822</x:v>
      </x:c>
      <x:c r="D43" s="180" t="str">
        <x:v>Daikyo D Sigma 1mL Long RTU Chlorobutyl D21-7H Syringe Plungers</x:v>
      </x:c>
      <x:c r="E43" s="180" t="str">
        <x:v>19560822</x:v>
      </x:c>
      <x:c r="F43" s="180" t="str">
        <x:v>Added</x:v>
      </x:c>
      <x:c r="G43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43" s="180" t="n">
        <x:v>46224.942662037036</x:v>
      </x:c>
      <x:c r="I43" s="186" t="str">
        <x:v>Unreviewed</x:v>
      </x:c>
    </x:row>
    <x:row r="44">
      <x:c r="A44" s="185" t="n">
        <x:v>112</x:v>
      </x:c>
      <x:c r="B44" s="180" t="n">
        <x:v>1</x:v>
      </x:c>
      <x:c r="C44" s="180" t="str">
        <x:v>sku:19550207</x:v>
      </x:c>
      <x:c r="D44" s="180" t="str">
        <x:v>Daikyo Crystal Zenith Copolymer Vial 5mL</x:v>
      </x:c>
      <x:c r="E44" s="180" t="str">
        <x:v>1955-0207</x:v>
      </x:c>
      <x:c r="F44" s="180" t="str">
        <x:v>Added</x:v>
      </x:c>
      <x:c r="G44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44" s="180" t="n">
        <x:v>46224.942662037036</x:v>
      </x:c>
      <x:c r="I44" s="186" t="str">
        <x:v>Unreviewed</x:v>
      </x:c>
    </x:row>
    <x:row r="45">
      <x:c r="A45" s="185" t="n">
        <x:v>111</x:v>
      </x:c>
      <x:c r="B45" s="180" t="n">
        <x:v>1</x:v>
      </x:c>
      <x:c r="C45" s="180" t="str">
        <x:v>sku:19550057</x:v>
      </x:c>
      <x:c r="D45" s="180" t="str">
        <x:v>Daikyo Crystal Zenith Copolymer Vial 2mL</x:v>
      </x:c>
      <x:c r="E45" s="180" t="str">
        <x:v>1955-0057</x:v>
      </x:c>
      <x:c r="F45" s="180" t="str">
        <x:v>Added</x:v>
      </x:c>
      <x:c r="G45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45" s="180" t="n">
        <x:v>46224.942662037036</x:v>
      </x:c>
      <x:c r="I45" s="186" t="str">
        <x:v>Unreviewed</x:v>
      </x:c>
    </x:row>
    <x:row r="46">
      <x:c r="A46" s="185" t="n">
        <x:v>110</x:v>
      </x:c>
      <x:c r="B46" s="180" t="n">
        <x:v>1</x:v>
      </x:c>
      <x:c r="C46" s="180" t="str">
        <x:v>sku:68000399</x:v>
      </x:c>
      <x:c r="D46" s="180" t="str">
        <x:v>SG EZ-fill Sterile Glass Vial 10mL</x:v>
      </x:c>
      <x:c r="E46" s="180" t="str">
        <x:v>6800-0399</x:v>
      </x:c>
      <x:c r="F46" s="180" t="str">
        <x:v>Added</x:v>
      </x:c>
      <x:c r="G46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46" s="180" t="n">
        <x:v>46224.942662037036</x:v>
      </x:c>
      <x:c r="I46" s="186" t="str">
        <x:v>Unreviewed</x:v>
      </x:c>
    </x:row>
    <x:row r="47">
      <x:c r="A47" s="185" t="n">
        <x:v>109</x:v>
      </x:c>
      <x:c r="B47" s="180" t="n">
        <x:v>1</x:v>
      </x:c>
      <x:c r="C47" s="180" t="str">
        <x:v>sku:68000398</x:v>
      </x:c>
      <x:c r="D47" s="180" t="str">
        <x:v>SG EZ-fill Sterile Glass Vial 8mL</x:v>
      </x:c>
      <x:c r="E47" s="180" t="str">
        <x:v>6800-0398</x:v>
      </x:c>
      <x:c r="F47" s="180" t="str">
        <x:v>Added</x:v>
      </x:c>
      <x:c r="G47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47" s="180" t="n">
        <x:v>46224.942662037036</x:v>
      </x:c>
      <x:c r="I47" s="186" t="str">
        <x:v>Unreviewed</x:v>
      </x:c>
    </x:row>
    <x:row r="48">
      <x:c r="A48" s="185" t="n">
        <x:v>108</x:v>
      </x:c>
      <x:c r="B48" s="180" t="n">
        <x:v>1</x:v>
      </x:c>
      <x:c r="C48" s="180" t="str">
        <x:v>sku:68000397</x:v>
      </x:c>
      <x:c r="D48" s="180" t="str">
        <x:v>SG EZ-fill Sterile Glass Vial 3mL</x:v>
      </x:c>
      <x:c r="E48" s="180" t="str">
        <x:v>6800-0397</x:v>
      </x:c>
      <x:c r="F48" s="180" t="str">
        <x:v>Added</x:v>
      </x:c>
      <x:c r="G48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48" s="180" t="n">
        <x:v>46224.942662037036</x:v>
      </x:c>
      <x:c r="I48" s="186" t="str">
        <x:v>Unreviewed</x:v>
      </x:c>
    </x:row>
    <x:row r="49">
      <x:c r="A49" s="185" t="n">
        <x:v>107</x:v>
      </x:c>
      <x:c r="B49" s="180" t="n">
        <x:v>1</x:v>
      </x:c>
      <x:c r="C49" s="180" t="str">
        <x:v>sku:59221127</x:v>
      </x:c>
      <x:c r="D49" s="180" t="str">
        <x:v>Flip-Off CCS Seal 20mm Blue</x:v>
      </x:c>
      <x:c r="E49" s="180" t="str">
        <x:v>5922-1127</x:v>
      </x:c>
      <x:c r="F49" s="180" t="str">
        <x:v>Added</x:v>
      </x:c>
      <x:c r="G49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49" s="180" t="n">
        <x:v>46224.942662037036</x:v>
      </x:c>
      <x:c r="I49" s="186" t="str">
        <x:v>Unreviewed</x:v>
      </x:c>
    </x:row>
    <x:row r="50">
      <x:c r="A50" s="185" t="n">
        <x:v>106</x:v>
      </x:c>
      <x:c r="B50" s="180" t="n">
        <x:v>1</x:v>
      </x:c>
      <x:c r="C50" s="180" t="str">
        <x:v>sku:59221141</x:v>
      </x:c>
      <x:c r="D50" s="180" t="str">
        <x:v>Flip-Off CCS Seal 20mm White</x:v>
      </x:c>
      <x:c r="E50" s="180" t="str">
        <x:v>5922-1141</x:v>
      </x:c>
      <x:c r="F50" s="180" t="str">
        <x:v>Added</x:v>
      </x:c>
      <x:c r="G50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50" s="180" t="n">
        <x:v>46224.942662037036</x:v>
      </x:c>
      <x:c r="I50" s="186" t="str">
        <x:v>Unreviewed</x:v>
      </x:c>
    </x:row>
    <x:row r="51">
      <x:c r="A51" s="185" t="n">
        <x:v>105</x:v>
      </x:c>
      <x:c r="B51" s="180" t="n">
        <x:v>1</x:v>
      </x:c>
      <x:c r="C51" s="180" t="str">
        <x:v>sku:59221143</x:v>
      </x:c>
      <x:c r="D51" s="180" t="str">
        <x:v>Flip-Off CCS Seal 20mm Red</x:v>
      </x:c>
      <x:c r="E51" s="180" t="str">
        <x:v>5922-1143</x:v>
      </x:c>
      <x:c r="F51" s="180" t="str">
        <x:v>Added</x:v>
      </x:c>
      <x:c r="G51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51" s="180" t="n">
        <x:v>46224.942662037036</x:v>
      </x:c>
      <x:c r="I51" s="186" t="str">
        <x:v>Unreviewed</x:v>
      </x:c>
    </x:row>
    <x:row r="52">
      <x:c r="A52" s="185" t="n">
        <x:v>104</x:v>
      </x:c>
      <x:c r="B52" s="180" t="n">
        <x:v>1</x:v>
      </x:c>
      <x:c r="C52" s="180" t="str">
        <x:v>sku:59221128</x:v>
      </x:c>
      <x:c r="D52" s="180" t="str">
        <x:v>Flip-Off CCS Seal 13mm Blue</x:v>
      </x:c>
      <x:c r="E52" s="180" t="str">
        <x:v>5922-1128</x:v>
      </x:c>
      <x:c r="F52" s="180" t="str">
        <x:v>Added</x:v>
      </x:c>
      <x:c r="G52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52" s="180" t="n">
        <x:v>46224.942662037036</x:v>
      </x:c>
      <x:c r="I52" s="186" t="str">
        <x:v>Unreviewed</x:v>
      </x:c>
    </x:row>
    <x:row r="53">
      <x:c r="A53" s="185" t="n">
        <x:v>103</x:v>
      </x:c>
      <x:c r="B53" s="180" t="n">
        <x:v>1</x:v>
      </x:c>
      <x:c r="C53" s="180" t="str">
        <x:v>sku:59221120</x:v>
      </x:c>
      <x:c r="D53" s="180" t="str">
        <x:v>Flip-Off CCS Seal 13mm White</x:v>
      </x:c>
      <x:c r="E53" s="180" t="str">
        <x:v>5922-1120</x:v>
      </x:c>
      <x:c r="F53" s="180" t="str">
        <x:v>Added</x:v>
      </x:c>
      <x:c r="G53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53" s="180" t="n">
        <x:v>46224.942662037036</x:v>
      </x:c>
      <x:c r="I53" s="186" t="str">
        <x:v>Unreviewed</x:v>
      </x:c>
    </x:row>
    <x:row r="54">
      <x:c r="A54" s="185" t="n">
        <x:v>102</x:v>
      </x:c>
      <x:c r="B54" s="180" t="n">
        <x:v>1</x:v>
      </x:c>
      <x:c r="C54" s="180" t="str">
        <x:v>sku:59221125</x:v>
      </x:c>
      <x:c r="D54" s="180" t="str">
        <x:v>Flip-Off CCS Seal 13mm Red</x:v>
      </x:c>
      <x:c r="E54" s="180" t="str">
        <x:v>5922-1125</x:v>
      </x:c>
      <x:c r="F54" s="180" t="str">
        <x:v>Added</x:v>
      </x:c>
      <x:c r="G54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54" s="180" t="n">
        <x:v>46224.942662037036</x:v>
      </x:c>
      <x:c r="I54" s="186" t="str">
        <x:v>Unreviewed</x:v>
      </x:c>
    </x:row>
    <x:row r="55">
      <x:c r="A55" s="185" t="n">
        <x:v>101</x:v>
      </x:c>
      <x:c r="B55" s="180" t="n">
        <x:v>1</x:v>
      </x:c>
      <x:c r="C55" s="180" t="str">
        <x:v>sku:19700361</x:v>
      </x:c>
      <x:c r="D55" s="180" t="str">
        <x:v>NovaPure Serum Stopper 20mm 4023/50 Gray</x:v>
      </x:c>
      <x:c r="E55" s="180" t="str">
        <x:v>1970-0361</x:v>
      </x:c>
      <x:c r="F55" s="180" t="str">
        <x:v>Added</x:v>
      </x:c>
      <x:c r="G55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55" s="180" t="n">
        <x:v>46224.942662037036</x:v>
      </x:c>
      <x:c r="I55" s="186" t="str">
        <x:v>Unreviewed</x:v>
      </x:c>
    </x:row>
    <x:row r="56">
      <x:c r="A56" s="185" t="n">
        <x:v>100</x:v>
      </x:c>
      <x:c r="B56" s="180" t="n">
        <x:v>1</x:v>
      </x:c>
      <x:c r="C56" s="180" t="str">
        <x:v>sku:19700360</x:v>
      </x:c>
      <x:c r="D56" s="180" t="str">
        <x:v>NovaPure Serum Stopper 13mm 4023/50 Gray</x:v>
      </x:c>
      <x:c r="E56" s="180" t="str">
        <x:v>1970-0360</x:v>
      </x:c>
      <x:c r="F56" s="180" t="str">
        <x:v>Added</x:v>
      </x:c>
      <x:c r="G56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56" s="180" t="n">
        <x:v>46224.942662037036</x:v>
      </x:c>
      <x:c r="I56" s="186" t="str">
        <x:v>Unreviewed</x:v>
      </x:c>
    </x:row>
    <x:row r="57">
      <x:c r="A57" s="185" t="n">
        <x:v>99</x:v>
      </x:c>
      <x:c r="B57" s="180" t="n">
        <x:v>1</x:v>
      </x:c>
      <x:c r="C57" s="180" t="str">
        <x:v>fp:37b87f041eea196a69f0</x:v>
      </x:c>
      <x:c r="D57" s="180" t="str">
        <x:v>Process Design and Validation</x:v>
      </x:c>
      <x:c r="E57" s="180" t="str"/>
      <x:c r="F57" s="180" t="str">
        <x:v>Added</x:v>
      </x:c>
      <x:c r="G57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57" s="180" t="n">
        <x:v>46224.942662037036</x:v>
      </x:c>
      <x:c r="I57" s="186" t="str">
        <x:v>Unreviewed</x:v>
      </x:c>
    </x:row>
    <x:row r="58">
      <x:c r="A58" s="185" t="n">
        <x:v>98</x:v>
      </x:c>
      <x:c r="B58" s="180" t="n">
        <x:v>1</x:v>
      </x:c>
      <x:c r="C58" s="180" t="str">
        <x:v>fp:c3fa8e861fd14244b22a</x:v>
      </x:c>
      <x:c r="D58" s="180" t="str">
        <x:v>Mold Design and Construction</x:v>
      </x:c>
      <x:c r="E58" s="180" t="str"/>
      <x:c r="F58" s="180" t="str">
        <x:v>Added</x:v>
      </x:c>
      <x:c r="G58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58" s="180" t="n">
        <x:v>46224.942662037036</x:v>
      </x:c>
      <x:c r="I58" s="186" t="str">
        <x:v>Unreviewed</x:v>
      </x:c>
    </x:row>
    <x:row r="59">
      <x:c r="A59" s="185" t="n">
        <x:v>97</x:v>
      </x:c>
      <x:c r="B59" s="180" t="n">
        <x:v>1</x:v>
      </x:c>
      <x:c r="C59" s="180" t="str">
        <x:v>fp:719bcb98a6018345b13c</x:v>
      </x:c>
      <x:c r="D59" s="180" t="str">
        <x:v>Regulatory Services</x:v>
      </x:c>
      <x:c r="E59" s="180" t="str"/>
      <x:c r="F59" s="180" t="str">
        <x:v>Added</x:v>
      </x:c>
      <x:c r="G59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59" s="180" t="n">
        <x:v>46224.942662037036</x:v>
      </x:c>
      <x:c r="I59" s="186" t="str">
        <x:v>Unreviewed</x:v>
      </x:c>
    </x:row>
    <x:row r="60">
      <x:c r="A60" s="185" t="n">
        <x:v>96</x:v>
      </x:c>
      <x:c r="B60" s="180" t="n">
        <x:v>1</x:v>
      </x:c>
      <x:c r="C60" s="180" t="str">
        <x:v>fp:13087787f9e3606cd03b</x:v>
      </x:c>
      <x:c r="D60" s="180" t="str">
        <x:v>Analytical Testing</x:v>
      </x:c>
      <x:c r="E60" s="180" t="str"/>
      <x:c r="F60" s="180" t="str">
        <x:v>Added</x:v>
      </x:c>
      <x:c r="G60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60" s="180" t="n">
        <x:v>46224.942662037036</x:v>
      </x:c>
      <x:c r="I60" s="186" t="str">
        <x:v>Unreviewed</x:v>
      </x:c>
    </x:row>
    <x:row r="61">
      <x:c r="A61" s="185" t="n">
        <x:v>95</x:v>
      </x:c>
      <x:c r="B61" s="180" t="n">
        <x:v>1</x:v>
      </x:c>
      <x:c r="C61" s="180" t="str">
        <x:v>fp:e0ba36dcc3bfeec12148</x:v>
      </x:c>
      <x:c r="D61" s="180" t="str">
        <x:v>Design and Development Engineering</x:v>
      </x:c>
      <x:c r="E61" s="180" t="str"/>
      <x:c r="F61" s="180" t="str">
        <x:v>Added</x:v>
      </x:c>
      <x:c r="G61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61" s="180" t="n">
        <x:v>46224.942662037036</x:v>
      </x:c>
      <x:c r="I61" s="186" t="str">
        <x:v>Unreviewed</x:v>
      </x:c>
    </x:row>
    <x:row r="62">
      <x:c r="A62" s="185" t="n">
        <x:v>94</x:v>
      </x:c>
      <x:c r="B62" s="180" t="n">
        <x:v>1</x:v>
      </x:c>
      <x:c r="C62" s="180" t="str">
        <x:v>fp:83b5d98af8d43f77e32b</x:v>
      </x:c>
      <x:c r="D62" s="180" t="str">
        <x:v>Drug Handling, Assembly and Packaging Services</x:v>
      </x:c>
      <x:c r="E62" s="180" t="str"/>
      <x:c r="F62" s="180" t="str">
        <x:v>Added</x:v>
      </x:c>
      <x:c r="G62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62" s="180" t="n">
        <x:v>46224.942662037036</x:v>
      </x:c>
      <x:c r="I62" s="186" t="str">
        <x:v>Unreviewed</x:v>
      </x:c>
    </x:row>
    <x:row r="63">
      <x:c r="A63" s="185" t="n">
        <x:v>93</x:v>
      </x:c>
      <x:c r="B63" s="180" t="n">
        <x:v>1</x:v>
      </x:c>
      <x:c r="C63" s="180" t="str">
        <x:v>fp:efdd5d008c0ebe120e94</x:v>
      </x:c>
      <x:c r="D63" s="180" t="str">
        <x:v>Automated Device Assemblies</x:v>
      </x:c>
      <x:c r="E63" s="180" t="str"/>
      <x:c r="F63" s="180" t="str">
        <x:v>Added</x:v>
      </x:c>
      <x:c r="G63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63" s="180" t="n">
        <x:v>46224.942662037036</x:v>
      </x:c>
      <x:c r="I63" s="186" t="str">
        <x:v>Unreviewed</x:v>
      </x:c>
    </x:row>
    <x:row r="64">
      <x:c r="A64" s="185" t="n">
        <x:v>92</x:v>
      </x:c>
      <x:c r="B64" s="180" t="n">
        <x:v>1</x:v>
      </x:c>
      <x:c r="C64" s="180" t="str">
        <x:v>fp:740fca79e3fcc5558c7b</x:v>
      </x:c>
      <x:c r="D64" s="180" t="str">
        <x:v>Cleanroom Molded Components</x:v>
      </x:c>
      <x:c r="E64" s="180" t="str"/>
      <x:c r="F64" s="180" t="str">
        <x:v>Added</x:v>
      </x:c>
      <x:c r="G64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64" s="180" t="n">
        <x:v>46224.942662037036</x:v>
      </x:c>
      <x:c r="I64" s="186" t="str">
        <x:v>Unreviewed</x:v>
      </x:c>
    </x:row>
    <x:row r="65">
      <x:c r="A65" s="185" t="n">
        <x:v>91</x:v>
      </x:c>
      <x:c r="B65" s="180" t="n">
        <x:v>1</x:v>
      </x:c>
      <x:c r="C65" s="180" t="str">
        <x:v>fp:e1e6e4f53c3a3686674f</x:v>
      </x:c>
      <x:c r="D65" s="180" t="str">
        <x:v>Ultrasonically Welded Assemblies</x:v>
      </x:c>
      <x:c r="E65" s="180" t="str"/>
      <x:c r="F65" s="180" t="str">
        <x:v>Added</x:v>
      </x:c>
      <x:c r="G65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65" s="180" t="n">
        <x:v>46224.942662037036</x:v>
      </x:c>
      <x:c r="I65" s="186" t="str">
        <x:v>Unreviewed</x:v>
      </x:c>
    </x:row>
    <x:row r="66">
      <x:c r="A66" s="185" t="n">
        <x:v>90</x:v>
      </x:c>
      <x:c r="B66" s="180" t="n">
        <x:v>1</x:v>
      </x:c>
      <x:c r="C66" s="180" t="str">
        <x:v>fp:cfdf056a11aaac51f9bb</x:v>
      </x:c>
      <x:c r="D66" s="180" t="str">
        <x:v>In-Mold Labeled Products</x:v>
      </x:c>
      <x:c r="E66" s="180" t="str"/>
      <x:c r="F66" s="180" t="str">
        <x:v>Added</x:v>
      </x:c>
      <x:c r="G66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66" s="180" t="n">
        <x:v>46224.942662037036</x:v>
      </x:c>
      <x:c r="I66" s="186" t="str">
        <x:v>Unreviewed</x:v>
      </x:c>
    </x:row>
    <x:row r="67">
      <x:c r="A67" s="185" t="n">
        <x:v>89</x:v>
      </x:c>
      <x:c r="B67" s="180" t="n">
        <x:v>1</x:v>
      </x:c>
      <x:c r="C67" s="180" t="str">
        <x:v>fp:3d534ad99c908c7f9d4b</x:v>
      </x:c>
      <x:c r="D67" s="180" t="str">
        <x:v>Multi-Component Molded Products</x:v>
      </x:c>
      <x:c r="E67" s="180" t="str"/>
      <x:c r="F67" s="180" t="str">
        <x:v>Added</x:v>
      </x:c>
      <x:c r="G67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67" s="180" t="n">
        <x:v>46224.942662037036</x:v>
      </x:c>
      <x:c r="I67" s="186" t="str">
        <x:v>Unreviewed</x:v>
      </x:c>
    </x:row>
    <x:row r="68">
      <x:c r="A68" s="185" t="n">
        <x:v>88</x:v>
      </x:c>
      <x:c r="B68" s="180" t="n">
        <x:v>1</x:v>
      </x:c>
      <x:c r="C68" s="180" t="str">
        <x:v>fp:c2c96453b9198813a694</x:v>
      </x:c>
      <x:c r="D68" s="180" t="str">
        <x:v>Custom Consumer Products</x:v>
      </x:c>
      <x:c r="E68" s="180" t="str"/>
      <x:c r="F68" s="180" t="str">
        <x:v>Added</x:v>
      </x:c>
      <x:c r="G68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68" s="180" t="n">
        <x:v>46224.942662037036</x:v>
      </x:c>
      <x:c r="I68" s="186" t="str">
        <x:v>Unreviewed</x:v>
      </x:c>
    </x:row>
    <x:row r="69">
      <x:c r="A69" s="185" t="n">
        <x:v>87</x:v>
      </x:c>
      <x:c r="B69" s="180" t="n">
        <x:v>1</x:v>
      </x:c>
      <x:c r="C69" s="180" t="str">
        <x:v>fp:579002c61ee84105389b</x:v>
      </x:c>
      <x:c r="D69" s="180" t="str">
        <x:v>Custom Injectable and Drug-Delivery Components and Devices</x:v>
      </x:c>
      <x:c r="E69" s="180" t="str"/>
      <x:c r="F69" s="180" t="str">
        <x:v>Added</x:v>
      </x:c>
      <x:c r="G69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69" s="180" t="n">
        <x:v>46224.942662037036</x:v>
      </x:c>
      <x:c r="I69" s="186" t="str">
        <x:v>Unreviewed</x:v>
      </x:c>
    </x:row>
    <x:row r="70">
      <x:c r="A70" s="185" t="n">
        <x:v>86</x:v>
      </x:c>
      <x:c r="B70" s="180" t="n">
        <x:v>1</x:v>
      </x:c>
      <x:c r="C70" s="180" t="str">
        <x:v>fp:0db3d3ce8705ad7d493b</x:v>
      </x:c>
      <x:c r="D70" s="180" t="str">
        <x:v>Custom Ophthalmic Components and Devices</x:v>
      </x:c>
      <x:c r="E70" s="180" t="str"/>
      <x:c r="F70" s="180" t="str">
        <x:v>Added</x:v>
      </x:c>
      <x:c r="G70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70" s="180" t="n">
        <x:v>46224.942662037036</x:v>
      </x:c>
      <x:c r="I70" s="186" t="str">
        <x:v>Unreviewed</x:v>
      </x:c>
    </x:row>
    <x:row r="71">
      <x:c r="A71" s="185" t="n">
        <x:v>85</x:v>
      </x:c>
      <x:c r="B71" s="180" t="n">
        <x:v>1</x:v>
      </x:c>
      <x:c r="C71" s="180" t="str">
        <x:v>fp:73225bd1b0483e8ef133</x:v>
      </x:c>
      <x:c r="D71" s="180" t="str">
        <x:v>Custom Diagnostic Components and Devices</x:v>
      </x:c>
      <x:c r="E71" s="180" t="str"/>
      <x:c r="F71" s="180" t="str">
        <x:v>Added</x:v>
      </x:c>
      <x:c r="G71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71" s="180" t="n">
        <x:v>46224.942662037036</x:v>
      </x:c>
      <x:c r="I71" s="186" t="str">
        <x:v>Unreviewed</x:v>
      </x:c>
    </x:row>
    <x:row r="72">
      <x:c r="A72" s="185" t="n">
        <x:v>84</x:v>
      </x:c>
      <x:c r="B72" s="180" t="n">
        <x:v>1</x:v>
      </x:c>
      <x:c r="C72" s="180" t="str">
        <x:v>fp:6330440ca99faa44ef03</x:v>
      </x:c>
      <x:c r="D72" s="180" t="str">
        <x:v>Custom Surgical Components and Devices</x:v>
      </x:c>
      <x:c r="E72" s="180" t="str"/>
      <x:c r="F72" s="180" t="str">
        <x:v>Added</x:v>
      </x:c>
      <x:c r="G72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72" s="180" t="n">
        <x:v>46224.942662037036</x:v>
      </x:c>
      <x:c r="I72" s="186" t="str">
        <x:v>Unreviewed</x:v>
      </x:c>
    </x:row>
    <x:row r="73">
      <x:c r="A73" s="185" t="n">
        <x:v>83</x:v>
      </x:c>
      <x:c r="B73" s="180" t="n">
        <x:v>1</x:v>
      </x:c>
      <x:c r="C73" s="180" t="str">
        <x:v>fp:0f61c25c7d5fa92ec51b</x:v>
      </x:c>
      <x:c r="D73" s="180" t="str">
        <x:v>NovaGuard Passive Safety Needle System</x:v>
      </x:c>
      <x:c r="E73" s="180" t="str"/>
      <x:c r="F73" s="180" t="str">
        <x:v>Added</x:v>
      </x:c>
      <x:c r="G73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73" s="180" t="n">
        <x:v>46224.942662037036</x:v>
      </x:c>
      <x:c r="I73" s="186" t="str">
        <x:v>Unreviewed</x:v>
      </x:c>
    </x:row>
    <x:row r="74">
      <x:c r="A74" s="185" t="n">
        <x:v>82</x:v>
      </x:c>
      <x:c r="B74" s="180" t="n">
        <x:v>1</x:v>
      </x:c>
      <x:c r="C74" s="180" t="str">
        <x:v>fp:506929386b5e32975070</x:v>
      </x:c>
      <x:c r="D74" s="180" t="str">
        <x:v>VeriSure Components</x:v>
      </x:c>
      <x:c r="E74" s="180" t="str"/>
      <x:c r="F74" s="180" t="str">
        <x:v>Added</x:v>
      </x:c>
      <x:c r="G74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74" s="180" t="n">
        <x:v>46224.942662037036</x:v>
      </x:c>
      <x:c r="I74" s="186" t="str">
        <x:v>Unreviewed</x:v>
      </x:c>
    </x:row>
    <x:row r="75">
      <x:c r="A75" s="185" t="n">
        <x:v>81</x:v>
      </x:c>
      <x:c r="B75" s="180" t="n">
        <x:v>1</x:v>
      </x:c>
      <x:c r="C75" s="180" t="str">
        <x:v>fp:766e5b669478ed581cad</x:v>
      </x:c>
      <x:c r="D75" s="180" t="str">
        <x:v>ConfiDose Disposable Auto-Injector System</x:v>
      </x:c>
      <x:c r="E75" s="180" t="str"/>
      <x:c r="F75" s="180" t="str">
        <x:v>Added</x:v>
      </x:c>
      <x:c r="G75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75" s="180" t="n">
        <x:v>46224.942662037036</x:v>
      </x:c>
      <x:c r="I75" s="186" t="str">
        <x:v>Unreviewed</x:v>
      </x:c>
    </x:row>
    <x:row r="76">
      <x:c r="A76" s="185" t="n">
        <x:v>80</x:v>
      </x:c>
      <x:c r="B76" s="180" t="n">
        <x:v>1</x:v>
      </x:c>
      <x:c r="C76" s="180" t="str">
        <x:v>fp:2d5217ff34903743bc63</x:v>
      </x:c>
      <x:c r="D76" s="180" t="str">
        <x:v>NovaGuard SA Pro Safety System</x:v>
      </x:c>
      <x:c r="E76" s="180" t="str"/>
      <x:c r="F76" s="180" t="str">
        <x:v>Added</x:v>
      </x:c>
      <x:c r="G76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76" s="180" t="n">
        <x:v>46224.942662037036</x:v>
      </x:c>
      <x:c r="I76" s="186" t="str">
        <x:v>Unreviewed</x:v>
      </x:c>
    </x:row>
    <x:row r="77">
      <x:c r="A77" s="185" t="n">
        <x:v>79</x:v>
      </x:c>
      <x:c r="B77" s="180" t="n">
        <x:v>1</x:v>
      </x:c>
      <x:c r="C77" s="180" t="str">
        <x:v>fp:a9f898d189778c905ac2</x:v>
      </x:c>
      <x:c r="D77" s="180" t="str">
        <x:v>ERIS Safety System for Prefilled Syringes</x:v>
      </x:c>
      <x:c r="E77" s="180" t="str"/>
      <x:c r="F77" s="180" t="str">
        <x:v>Added</x:v>
      </x:c>
      <x:c r="G77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77" s="180" t="n">
        <x:v>46224.942662037036</x:v>
      </x:c>
      <x:c r="I77" s="186" t="str">
        <x:v>Unreviewed</x:v>
      </x:c>
    </x:row>
    <x:row r="78">
      <x:c r="A78" s="185" t="n">
        <x:v>78</x:v>
      </x:c>
      <x:c r="B78" s="180" t="n">
        <x:v>1</x:v>
      </x:c>
      <x:c r="C78" s="180" t="str">
        <x:v>fp:38e8822a711ef402e5e4</x:v>
      </x:c>
      <x:c r="D78" s="180" t="str">
        <x:v>Rubber Sleeves</x:v>
      </x:c>
      <x:c r="E78" s="180" t="str"/>
      <x:c r="F78" s="180" t="str">
        <x:v>Added</x:v>
      </x:c>
      <x:c r="G78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78" s="180" t="n">
        <x:v>46224.942662037036</x:v>
      </x:c>
      <x:c r="I78" s="186" t="str">
        <x:v>Unreviewed</x:v>
      </x:c>
    </x:row>
    <x:row r="79">
      <x:c r="A79" s="185" t="n">
        <x:v>77</x:v>
      </x:c>
      <x:c r="B79" s="180" t="n">
        <x:v>1</x:v>
      </x:c>
      <x:c r="C79" s="180" t="str">
        <x:v>fp:9a8658190ce7e9a645f5</x:v>
      </x:c>
      <x:c r="D79" s="180" t="str">
        <x:v>Sleeve Stoppers</x:v>
      </x:c>
      <x:c r="E79" s="180" t="str"/>
      <x:c r="F79" s="180" t="str">
        <x:v>Added</x:v>
      </x:c>
      <x:c r="G79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79" s="180" t="n">
        <x:v>46224.942662037036</x:v>
      </x:c>
      <x:c r="I79" s="186" t="str">
        <x:v>Unreviewed</x:v>
      </x:c>
    </x:row>
    <x:row r="80">
      <x:c r="A80" s="185" t="n">
        <x:v>76</x:v>
      </x:c>
      <x:c r="B80" s="180" t="n">
        <x:v>1</x:v>
      </x:c>
      <x:c r="C80" s="180" t="str">
        <x:v>fp:a9098a87f363de2ca166</x:v>
      </x:c>
      <x:c r="D80" s="180" t="str">
        <x:v>Syringe Plungers</x:v>
      </x:c>
      <x:c r="E80" s="180" t="str"/>
      <x:c r="F80" s="180" t="str">
        <x:v>Added</x:v>
      </x:c>
      <x:c r="G80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80" s="180" t="n">
        <x:v>46224.942662037036</x:v>
      </x:c>
      <x:c r="I80" s="186" t="str">
        <x:v>Unreviewed</x:v>
      </x:c>
    </x:row>
    <x:row r="81">
      <x:c r="A81" s="185" t="n">
        <x:v>75</x:v>
      </x:c>
      <x:c r="B81" s="180" t="n">
        <x:v>1</x:v>
      </x:c>
      <x:c r="C81" s="180" t="str">
        <x:v>fp:af0d480e196b1213d12b</x:v>
      </x:c>
      <x:c r="D81" s="180" t="str">
        <x:v>Lyophilization Stoppers</x:v>
      </x:c>
      <x:c r="E81" s="180" t="str"/>
      <x:c r="F81" s="180" t="str">
        <x:v>Added</x:v>
      </x:c>
      <x:c r="G81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81" s="180" t="n">
        <x:v>46224.942662037036</x:v>
      </x:c>
      <x:c r="I81" s="186" t="str">
        <x:v>Unreviewed</x:v>
      </x:c>
    </x:row>
    <x:row r="82">
      <x:c r="A82" s="185" t="n">
        <x:v>74</x:v>
      </x:c>
      <x:c r="B82" s="180" t="n">
        <x:v>1</x:v>
      </x:c>
      <x:c r="C82" s="180" t="str">
        <x:v>fp:fe0f7005df89324f3360</x:v>
      </x:c>
      <x:c r="D82" s="180" t="str">
        <x:v>Serum Stoppers</x:v>
      </x:c>
      <x:c r="E82" s="180" t="str"/>
      <x:c r="F82" s="180" t="str">
        <x:v>Added</x:v>
      </x:c>
      <x:c r="G82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82" s="180" t="n">
        <x:v>46224.942662037036</x:v>
      </x:c>
      <x:c r="I82" s="186" t="str">
        <x:v>Unreviewed</x:v>
      </x:c>
    </x:row>
    <x:row r="83">
      <x:c r="A83" s="185" t="n">
        <x:v>73</x:v>
      </x:c>
      <x:c r="B83" s="180" t="n">
        <x:v>1</x:v>
      </x:c>
      <x:c r="C83" s="180" t="str">
        <x:v>fp:87e4fb785d4e3866a944</x:v>
      </x:c>
      <x:c r="D83" s="180" t="str">
        <x:v>Plastic Containers</x:v>
      </x:c>
      <x:c r="E83" s="180" t="str"/>
      <x:c r="F83" s="180" t="str">
        <x:v>Added</x:v>
      </x:c>
      <x:c r="G83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83" s="180" t="n">
        <x:v>46224.942662037036</x:v>
      </x:c>
      <x:c r="I83" s="186" t="str">
        <x:v>Unreviewed</x:v>
      </x:c>
    </x:row>
    <x:row r="84">
      <x:c r="A84" s="185" t="n">
        <x:v>72</x:v>
      </x:c>
      <x:c r="B84" s="180" t="n">
        <x:v>1</x:v>
      </x:c>
      <x:c r="C84" s="180" t="str">
        <x:v>fp:2a8642a37a0763e0a29f</x:v>
      </x:c>
      <x:c r="D84" s="180" t="str">
        <x:v>Plastic Bottle Caps and Closures</x:v>
      </x:c>
      <x:c r="E84" s="180" t="str"/>
      <x:c r="F84" s="180" t="str">
        <x:v>Added</x:v>
      </x:c>
      <x:c r="G84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84" s="180" t="n">
        <x:v>46224.942662037036</x:v>
      </x:c>
      <x:c r="I84" s="186" t="str">
        <x:v>Unreviewed</x:v>
      </x:c>
    </x:row>
    <x:row r="85">
      <x:c r="A85" s="185" t="n">
        <x:v>71</x:v>
      </x:c>
      <x:c r="B85" s="180" t="n">
        <x:v>1</x:v>
      </x:c>
      <x:c r="C85" s="180" t="str">
        <x:v>fp:9f993e341364d35edacc</x:v>
      </x:c>
      <x:c r="D85" s="180" t="str">
        <x:v>Aluminum Pharmaceutical Seals</x:v>
      </x:c>
      <x:c r="E85" s="180" t="str"/>
      <x:c r="F85" s="180" t="str">
        <x:v>Added</x:v>
      </x:c>
      <x:c r="G85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85" s="180" t="n">
        <x:v>46224.942662037036</x:v>
      </x:c>
      <x:c r="I85" s="186" t="str">
        <x:v>Unreviewed</x:v>
      </x:c>
    </x:row>
    <x:row r="86">
      <x:c r="A86" s="185" t="n">
        <x:v>70</x:v>
      </x:c>
      <x:c r="B86" s="180" t="n">
        <x:v>1</x:v>
      </x:c>
      <x:c r="C86" s="180" t="str">
        <x:v>url:bb945cee8bfb166ab60c</x:v>
      </x:c>
      <x:c r="D86" s="180" t="str">
        <x:v>Daikyo Sterilized CZ Syringe 2.5mL FMR</x:v>
      </x:c>
      <x:c r="E86" s="180" t="str"/>
      <x:c r="F86" s="180" t="str">
        <x:v>Added</x:v>
      </x:c>
      <x:c r="G86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86" s="180" t="n">
        <x:v>46224.942662037036</x:v>
      </x:c>
      <x:c r="I86" s="186" t="str">
        <x:v>Unreviewed</x:v>
      </x:c>
    </x:row>
    <x:row r="87">
      <x:c r="A87" s="185" t="n">
        <x:v>69</x:v>
      </x:c>
      <x:c r="B87" s="180" t="n">
        <x:v>1</x:v>
      </x:c>
      <x:c r="C87" s="180" t="str">
        <x:v>url:c8fa0bd6676886eb8fc3</x:v>
      </x:c>
      <x:c r="D87" s="180" t="str">
        <x:v>Daikyo Sterilized CZ Syringe 1mL Luer Lock</x:v>
      </x:c>
      <x:c r="E87" s="180" t="str"/>
      <x:c r="F87" s="180" t="str">
        <x:v>Added</x:v>
      </x:c>
      <x:c r="G87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87" s="180" t="n">
        <x:v>46224.942662037036</x:v>
      </x:c>
      <x:c r="I87" s="186" t="str">
        <x:v>Unreviewed</x:v>
      </x:c>
    </x:row>
    <x:row r="88">
      <x:c r="A88" s="185" t="n">
        <x:v>68</x:v>
      </x:c>
      <x:c r="B88" s="180" t="n">
        <x:v>1</x:v>
      </x:c>
      <x:c r="C88" s="180" t="str">
        <x:v>url:ed4bdfd37443021f2085</x:v>
      </x:c>
      <x:c r="D88" s="180" t="str">
        <x:v>Daikyo Sterilized CZ Syringe 1mL Insert Needle Long</x:v>
      </x:c>
      <x:c r="E88" s="180" t="str"/>
      <x:c r="F88" s="180" t="str">
        <x:v>Added</x:v>
      </x:c>
      <x:c r="G88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88" s="180" t="n">
        <x:v>46224.942662037036</x:v>
      </x:c>
      <x:c r="I88" s="186" t="str">
        <x:v>Unreviewed</x:v>
      </x:c>
    </x:row>
    <x:row r="89">
      <x:c r="A89" s="185" t="n">
        <x:v>67</x:v>
      </x:c>
      <x:c r="B89" s="180" t="n">
        <x:v>1</x:v>
      </x:c>
      <x:c r="C89" s="180" t="str">
        <x:v>url:d710b8cc0f28db7c4af8</x:v>
      </x:c>
      <x:c r="D89" s="180" t="str">
        <x:v>Daikyo Sterilized CZ Syringe 0.5mL Luer Lock</x:v>
      </x:c>
      <x:c r="E89" s="180" t="str"/>
      <x:c r="F89" s="180" t="str">
        <x:v>Added</x:v>
      </x:c>
      <x:c r="G89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89" s="180" t="n">
        <x:v>46224.942662037036</x:v>
      </x:c>
      <x:c r="I89" s="186" t="str">
        <x:v>Unreviewed</x:v>
      </x:c>
    </x:row>
    <x:row r="90">
      <x:c r="A90" s="185" t="n">
        <x:v>66</x:v>
      </x:c>
      <x:c r="B90" s="180" t="n">
        <x:v>1</x:v>
      </x:c>
      <x:c r="C90" s="180" t="str">
        <x:v>url:4c31679257be4c417b67</x:v>
      </x:c>
      <x:c r="D90" s="180" t="str">
        <x:v>Daikyo Crystal Zenith Cartridges</x:v>
      </x:c>
      <x:c r="E90" s="180" t="str"/>
      <x:c r="F90" s="180" t="str">
        <x:v>Added</x:v>
      </x:c>
      <x:c r="G90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90" s="180" t="n">
        <x:v>46224.942662037036</x:v>
      </x:c>
      <x:c r="I90" s="186" t="str">
        <x:v>Unreviewed</x:v>
      </x:c>
    </x:row>
    <x:row r="91">
      <x:c r="A91" s="185" t="n">
        <x:v>65</x:v>
      </x:c>
      <x:c r="B91" s="180" t="n">
        <x:v>1</x:v>
      </x:c>
      <x:c r="C91" s="180" t="str">
        <x:v>url:316f95dbe295cf030503</x:v>
      </x:c>
      <x:c r="D91" s="180" t="str">
        <x:v>Daikyo Crystal Zenith Syringes</x:v>
      </x:c>
      <x:c r="E91" s="180" t="str"/>
      <x:c r="F91" s="180" t="str">
        <x:v>Added</x:v>
      </x:c>
      <x:c r="G91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91" s="180" t="n">
        <x:v>46224.942662037036</x:v>
      </x:c>
      <x:c r="I91" s="186" t="str">
        <x:v>Unreviewed</x:v>
      </x:c>
    </x:row>
    <x:row r="92">
      <x:c r="A92" s="185" t="n">
        <x:v>64</x:v>
      </x:c>
      <x:c r="B92" s="180" t="n">
        <x:v>1</x:v>
      </x:c>
      <x:c r="C92" s="180" t="str">
        <x:v>url:acc0273f22c188d227e8</x:v>
      </x:c>
      <x:c r="D92" s="180" t="str">
        <x:v>Daikyo PLASCAP</x:v>
      </x:c>
      <x:c r="E92" s="180" t="str"/>
      <x:c r="F92" s="180" t="str">
        <x:v>Added</x:v>
      </x:c>
      <x:c r="G92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92" s="180" t="n">
        <x:v>46224.942662037036</x:v>
      </x:c>
      <x:c r="I92" s="186" t="str">
        <x:v>Unreviewed</x:v>
      </x:c>
    </x:row>
    <x:row r="93">
      <x:c r="A93" s="185" t="n">
        <x:v>63</x:v>
      </x:c>
      <x:c r="B93" s="180" t="n">
        <x:v>1</x:v>
      </x:c>
      <x:c r="C93" s="180" t="str">
        <x:v>url:aeb6eb0d29e715a498d1</x:v>
      </x:c>
      <x:c r="D93" s="180" t="str">
        <x:v>Daikyo Crystal Zenith Vials</x:v>
      </x:c>
      <x:c r="E93" s="180" t="str"/>
      <x:c r="F93" s="180" t="str">
        <x:v>Added</x:v>
      </x:c>
      <x:c r="G93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93" s="180" t="n">
        <x:v>46224.942662037036</x:v>
      </x:c>
      <x:c r="I93" s="186" t="str">
        <x:v>Unreviewed</x:v>
      </x:c>
    </x:row>
    <x:row r="94">
      <x:c r="A94" s="185" t="n">
        <x:v>62</x:v>
      </x:c>
      <x:c r="B94" s="180" t="n">
        <x:v>1</x:v>
      </x:c>
      <x:c r="C94" s="180" t="str">
        <x:v>url:4fda5f909923facb10b7</x:v>
      </x:c>
      <x:c r="D94" s="180" t="str">
        <x:v>Daikyo Laminated Rubber Stoppers</x:v>
      </x:c>
      <x:c r="E94" s="180" t="str"/>
      <x:c r="F94" s="180" t="str">
        <x:v>Added</x:v>
      </x:c>
      <x:c r="G94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94" s="180" t="n">
        <x:v>46224.942662037036</x:v>
      </x:c>
      <x:c r="I94" s="186" t="str">
        <x:v>Unreviewed</x:v>
      </x:c>
    </x:row>
    <x:row r="95">
      <x:c r="A95" s="185" t="n">
        <x:v>61</x:v>
      </x:c>
      <x:c r="B95" s="180" t="n">
        <x:v>1</x:v>
      </x:c>
      <x:c r="C95" s="180" t="str">
        <x:v>url:f360c3749a8bed786d0c</x:v>
      </x:c>
      <x:c r="D95" s="180" t="str">
        <x:v>Westar RU and RS Lined Cartridge Seals</x:v>
      </x:c>
      <x:c r="E95" s="180" t="str"/>
      <x:c r="F95" s="180" t="str">
        <x:v>Added</x:v>
      </x:c>
      <x:c r="G95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95" s="180" t="n">
        <x:v>46224.942662037036</x:v>
      </x:c>
      <x:c r="I95" s="186" t="str">
        <x:v>Unreviewed</x:v>
      </x:c>
    </x:row>
    <x:row r="96">
      <x:c r="A96" s="185" t="n">
        <x:v>60</x:v>
      </x:c>
      <x:c r="B96" s="180" t="n">
        <x:v>1</x:v>
      </x:c>
      <x:c r="C96" s="180" t="str">
        <x:v>url:315ab3141130e959ef7d</x:v>
      </x:c>
      <x:c r="D96" s="180" t="str">
        <x:v>Westar RU and RS Cartridge Plungers</x:v>
      </x:c>
      <x:c r="E96" s="180" t="str"/>
      <x:c r="F96" s="180" t="str">
        <x:v>Added</x:v>
      </x:c>
      <x:c r="G96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96" s="180" t="n">
        <x:v>46224.942662037036</x:v>
      </x:c>
      <x:c r="I96" s="186" t="str">
        <x:v>Unreviewed</x:v>
      </x:c>
    </x:row>
    <x:row r="97">
      <x:c r="A97" s="185" t="n">
        <x:v>59</x:v>
      </x:c>
      <x:c r="B97" s="180" t="n">
        <x:v>1</x:v>
      </x:c>
      <x:c r="C97" s="180" t="str">
        <x:v>url:7ff5e4aa7c842e25e790</x:v>
      </x:c>
      <x:c r="D97" s="180" t="str">
        <x:v>Westar Select Cartridge Plungers</x:v>
      </x:c>
      <x:c r="E97" s="180" t="str"/>
      <x:c r="F97" s="180" t="str">
        <x:v>Added</x:v>
      </x:c>
      <x:c r="G97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97" s="180" t="n">
        <x:v>46224.942662037036</x:v>
      </x:c>
      <x:c r="I97" s="186" t="str">
        <x:v>Unreviewed</x:v>
      </x:c>
    </x:row>
    <x:row r="98">
      <x:c r="A98" s="185" t="n">
        <x:v>58</x:v>
      </x:c>
      <x:c r="B98" s="180" t="n">
        <x:v>1</x:v>
      </x:c>
      <x:c r="C98" s="180" t="str">
        <x:v>url:6d49a0c57d1922c14f58</x:v>
      </x:c>
      <x:c r="D98" s="180" t="str">
        <x:v>NovaPure Cartridge Components</x:v>
      </x:c>
      <x:c r="E98" s="180" t="str"/>
      <x:c r="F98" s="180" t="str">
        <x:v>Added</x:v>
      </x:c>
      <x:c r="G98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98" s="180" t="n">
        <x:v>46224.942662037036</x:v>
      </x:c>
      <x:c r="I98" s="186" t="str">
        <x:v>Unreviewed</x:v>
      </x:c>
    </x:row>
    <x:row r="99">
      <x:c r="A99" s="185" t="n">
        <x:v>57</x:v>
      </x:c>
      <x:c r="B99" s="180" t="n">
        <x:v>1</x:v>
      </x:c>
      <x:c r="C99" s="180" t="str">
        <x:v>url:b3e43a1a8d17de6e7697</x:v>
      </x:c>
      <x:c r="D99" s="180" t="str">
        <x:v>FluroTec Cartridge Plungers</x:v>
      </x:c>
      <x:c r="E99" s="180" t="str"/>
      <x:c r="F99" s="180" t="str">
        <x:v>Added</x:v>
      </x:c>
      <x:c r="G99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99" s="180" t="n">
        <x:v>46224.942662037036</x:v>
      </x:c>
      <x:c r="I99" s="186" t="str">
        <x:v>Unreviewed</x:v>
      </x:c>
    </x:row>
    <x:row r="100">
      <x:c r="A100" s="185" t="n">
        <x:v>56</x:v>
      </x:c>
      <x:c r="B100" s="180" t="n">
        <x:v>1</x:v>
      </x:c>
      <x:c r="C100" s="180" t="str">
        <x:v>url:7881607bdb28958d1a83</x:v>
      </x:c>
      <x:c r="D100" s="180" t="str">
        <x:v>Envision Verification Process</x:v>
      </x:c>
      <x:c r="E100" s="180" t="str"/>
      <x:c r="F100" s="180" t="str">
        <x:v>Added</x:v>
      </x:c>
      <x:c r="G100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00" s="180" t="n">
        <x:v>46224.942662037036</x:v>
      </x:c>
      <x:c r="I100" s="186" t="str">
        <x:v>Unreviewed</x:v>
      </x:c>
    </x:row>
    <x:row r="101">
      <x:c r="A101" s="185" t="n">
        <x:v>55</x:v>
      </x:c>
      <x:c r="B101" s="180" t="n">
        <x:v>1</x:v>
      </x:c>
      <x:c r="C101" s="180" t="str">
        <x:v>url:03be482a5690fe1795c5</x:v>
      </x:c>
      <x:c r="D101" s="180" t="str">
        <x:v>B2 Coating</x:v>
      </x:c>
      <x:c r="E101" s="180" t="str"/>
      <x:c r="F101" s="180" t="str">
        <x:v>Added</x:v>
      </x:c>
      <x:c r="G101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01" s="180" t="n">
        <x:v>46224.942662037036</x:v>
      </x:c>
      <x:c r="I101" s="186" t="str">
        <x:v>Unreviewed</x:v>
      </x:c>
    </x:row>
    <x:row r="102">
      <x:c r="A102" s="185" t="n">
        <x:v>54</x:v>
      </x:c>
      <x:c r="B102" s="180" t="n">
        <x:v>1</x:v>
      </x:c>
      <x:c r="C102" s="180" t="str">
        <x:v>url:534fde8e59880177536a</x:v>
      </x:c>
      <x:c r="D102" s="180" t="str">
        <x:v>FluroTec Barrier Film</x:v>
      </x:c>
      <x:c r="E102" s="180" t="str"/>
      <x:c r="F102" s="180" t="str">
        <x:v>Added</x:v>
      </x:c>
      <x:c r="G102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02" s="180" t="n">
        <x:v>46224.942662037036</x:v>
      </x:c>
      <x:c r="I102" s="186" t="str">
        <x:v>Unreviewed</x:v>
      </x:c>
    </x:row>
    <x:row r="103">
      <x:c r="A103" s="185" t="n">
        <x:v>53</x:v>
      </x:c>
      <x:c r="B103" s="180" t="n">
        <x:v>1</x:v>
      </x:c>
      <x:c r="C103" s="180" t="str">
        <x:v>url:32b18b4c9dde1ac2e793</x:v>
      </x:c>
      <x:c r="D103" s="180" t="str">
        <x:v>Westar RU Sterilized Components</x:v>
      </x:c>
      <x:c r="E103" s="180" t="str"/>
      <x:c r="F103" s="180" t="str">
        <x:v>Added</x:v>
      </x:c>
      <x:c r="G103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03" s="180" t="n">
        <x:v>46224.942662037036</x:v>
      </x:c>
      <x:c r="I103" s="186" t="str">
        <x:v>Unreviewed</x:v>
      </x:c>
    </x:row>
    <x:row r="104">
      <x:c r="A104" s="185" t="n">
        <x:v>52</x:v>
      </x:c>
      <x:c r="B104" s="180" t="n">
        <x:v>1</x:v>
      </x:c>
      <x:c r="C104" s="180" t="str">
        <x:v>url:6688c0e72720104dc3c4</x:v>
      </x:c>
      <x:c r="D104" s="180" t="str">
        <x:v>Westar RS Washed Components</x:v>
      </x:c>
      <x:c r="E104" s="180" t="str"/>
      <x:c r="F104" s="180" t="str">
        <x:v>Added</x:v>
      </x:c>
      <x:c r="G104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04" s="180" t="n">
        <x:v>46224.942662037036</x:v>
      </x:c>
      <x:c r="I104" s="186" t="str">
        <x:v>Unreviewed</x:v>
      </x:c>
    </x:row>
    <x:row r="105">
      <x:c r="A105" s="185" t="n">
        <x:v>51</x:v>
      </x:c>
      <x:c r="B105" s="180" t="n">
        <x:v>1</x:v>
      </x:c>
      <x:c r="C105" s="180" t="str">
        <x:v>url:ea3b05547a52b62afda2</x:v>
      </x:c>
      <x:c r="D105" s="180" t="str">
        <x:v>Custom Specialty Elastomer Components</x:v>
      </x:c>
      <x:c r="E105" s="180" t="str"/>
      <x:c r="F105" s="180" t="str">
        <x:v>Added</x:v>
      </x:c>
      <x:c r="G105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05" s="180" t="n">
        <x:v>46224.942662037036</x:v>
      </x:c>
      <x:c r="I105" s="186" t="str">
        <x:v>Unreviewed</x:v>
      </x:c>
    </x:row>
    <x:row r="106">
      <x:c r="A106" s="185" t="n">
        <x:v>50</x:v>
      </x:c>
      <x:c r="B106" s="180" t="n">
        <x:v>1</x:v>
      </x:c>
      <x:c r="C106" s="180" t="str">
        <x:v>url:61d015f8fe84c7d8c41b</x:v>
      </x:c>
      <x:c r="D106" s="180" t="str">
        <x:v>Flashback Bulbs for IV Systems</x:v>
      </x:c>
      <x:c r="E106" s="180" t="str"/>
      <x:c r="F106" s="180" t="str">
        <x:v>Added</x:v>
      </x:c>
      <x:c r="G106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06" s="180" t="n">
        <x:v>46224.942662037036</x:v>
      </x:c>
      <x:c r="I106" s="186" t="str">
        <x:v>Unreviewed</x:v>
      </x:c>
    </x:row>
    <x:row r="107">
      <x:c r="A107" s="185" t="n">
        <x:v>49</x:v>
      </x:c>
      <x:c r="B107" s="180" t="n">
        <x:v>1</x:v>
      </x:c>
      <x:c r="C107" s="180" t="str">
        <x:v>url:a3b5658409815e5a4fc5</x:v>
      </x:c>
      <x:c r="D107" s="180" t="str">
        <x:v>Sleeve Stoppers for IV Systems</x:v>
      </x:c>
      <x:c r="E107" s="180" t="str"/>
      <x:c r="F107" s="180" t="str">
        <x:v>Added</x:v>
      </x:c>
      <x:c r="G107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07" s="180" t="n">
        <x:v>46224.942662037036</x:v>
      </x:c>
      <x:c r="I107" s="186" t="str">
        <x:v>Unreviewed</x:v>
      </x:c>
    </x:row>
    <x:row r="108">
      <x:c r="A108" s="185" t="n">
        <x:v>48</x:v>
      </x:c>
      <x:c r="B108" s="180" t="n">
        <x:v>1</x:v>
      </x:c>
      <x:c r="C108" s="180" t="str">
        <x:v>url:b8d79fd1d92a6a903f1c</x:v>
      </x:c>
      <x:c r="D108" s="180" t="str">
        <x:v>Vial2Bag DC Device</x:v>
      </x:c>
      <x:c r="E108" s="180" t="str"/>
      <x:c r="F108" s="180" t="str">
        <x:v>Added</x:v>
      </x:c>
      <x:c r="G108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08" s="180" t="n">
        <x:v>46224.942662037036</x:v>
      </x:c>
      <x:c r="I108" s="186" t="str">
        <x:v>Unreviewed</x:v>
      </x:c>
    </x:row>
    <x:row r="109">
      <x:c r="A109" s="185" t="n">
        <x:v>47</x:v>
      </x:c>
      <x:c r="B109" s="180" t="n">
        <x:v>1</x:v>
      </x:c>
      <x:c r="C109" s="180" t="str">
        <x:v>url:4828c787e774101c2539</x:v>
      </x:c>
      <x:c r="D109" s="180" t="str">
        <x:v>MixJect Transfer Device 20mm</x:v>
      </x:c>
      <x:c r="E109" s="180" t="str"/>
      <x:c r="F109" s="180" t="str">
        <x:v>Added</x:v>
      </x:c>
      <x:c r="G109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09" s="180" t="n">
        <x:v>46224.942662037036</x:v>
      </x:c>
      <x:c r="I109" s="186" t="str">
        <x:v>Unreviewed</x:v>
      </x:c>
    </x:row>
    <x:row r="110">
      <x:c r="A110" s="185" t="n">
        <x:v>46</x:v>
      </x:c>
      <x:c r="B110" s="180" t="n">
        <x:v>1</x:v>
      </x:c>
      <x:c r="C110" s="180" t="str">
        <x:v>url:4da1ec5de4bbf03bdc2c</x:v>
      </x:c>
      <x:c r="D110" s="180" t="str">
        <x:v>MixJect Transfer Device 13mm</x:v>
      </x:c>
      <x:c r="E110" s="180" t="str"/>
      <x:c r="F110" s="180" t="str">
        <x:v>Added</x:v>
      </x:c>
      <x:c r="G110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10" s="180" t="n">
        <x:v>46224.942662037036</x:v>
      </x:c>
      <x:c r="I110" s="186" t="str">
        <x:v>Unreviewed</x:v>
      </x:c>
    </x:row>
    <x:row r="111">
      <x:c r="A111" s="185" t="n">
        <x:v>45</x:v>
      </x:c>
      <x:c r="B111" s="180" t="n">
        <x:v>1</x:v>
      </x:c>
      <x:c r="C111" s="180" t="str">
        <x:v>url:0c343ce5aaadeda7842d</x:v>
      </x:c>
      <x:c r="D111" s="180" t="str">
        <x:v>Mix2Vial Transfer Device</x:v>
      </x:c>
      <x:c r="E111" s="180" t="str"/>
      <x:c r="F111" s="180" t="str">
        <x:v>Added</x:v>
      </x:c>
      <x:c r="G111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11" s="180" t="n">
        <x:v>46224.942662037036</x:v>
      </x:c>
      <x:c r="I111" s="186" t="str">
        <x:v>Unreviewed</x:v>
      </x:c>
    </x:row>
    <x:row r="112">
      <x:c r="A112" s="185" t="n">
        <x:v>44</x:v>
      </x:c>
      <x:c r="B112" s="180" t="n">
        <x:v>1</x:v>
      </x:c>
      <x:c r="C112" s="180" t="str">
        <x:v>url:61e7c97f9bacb82d09b9</x:v>
      </x:c>
      <x:c r="D112" s="180" t="str">
        <x:v>Vial2Bag Advanced 20mm Admixture Device</x:v>
      </x:c>
      <x:c r="E112" s="180" t="str"/>
      <x:c r="F112" s="180" t="str">
        <x:v>Added</x:v>
      </x:c>
      <x:c r="G112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12" s="180" t="n">
        <x:v>46224.942662037036</x:v>
      </x:c>
      <x:c r="I112" s="186" t="str">
        <x:v>Unreviewed</x:v>
      </x:c>
    </x:row>
    <x:row r="113">
      <x:c r="A113" s="185" t="n">
        <x:v>43</x:v>
      </x:c>
      <x:c r="B113" s="180" t="n">
        <x:v>1</x:v>
      </x:c>
      <x:c r="C113" s="180" t="str">
        <x:v>url:ca5703e6f39dd4e560e8</x:v>
      </x:c>
      <x:c r="D113" s="180" t="str">
        <x:v>Vial2Bag Advanced 13mm Admixture Device</x:v>
      </x:c>
      <x:c r="E113" s="180" t="str"/>
      <x:c r="F113" s="180" t="str">
        <x:v>Added</x:v>
      </x:c>
      <x:c r="G113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13" s="180" t="n">
        <x:v>46224.942662037036</x:v>
      </x:c>
      <x:c r="I113" s="186" t="str">
        <x:v>Unreviewed</x:v>
      </x:c>
    </x:row>
    <x:row r="114">
      <x:c r="A114" s="185" t="n">
        <x:v>42</x:v>
      </x:c>
      <x:c r="B114" s="180" t="n">
        <x:v>1</x:v>
      </x:c>
      <x:c r="C114" s="180" t="str">
        <x:v>url:f7cf1728b87501253065</x:v>
      </x:c>
      <x:c r="D114" s="180" t="str">
        <x:v>Swabable Vial Adapter Transfer Device</x:v>
      </x:c>
      <x:c r="E114" s="180" t="str"/>
      <x:c r="F114" s="180" t="str">
        <x:v>Added</x:v>
      </x:c>
      <x:c r="G114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14" s="180" t="n">
        <x:v>46224.942662037036</x:v>
      </x:c>
      <x:c r="I114" s="186" t="str">
        <x:v>Unreviewed</x:v>
      </x:c>
    </x:row>
    <x:row r="115">
      <x:c r="A115" s="185" t="n">
        <x:v>41</x:v>
      </x:c>
      <x:c r="B115" s="180" t="n">
        <x:v>1</x:v>
      </x:c>
      <x:c r="C115" s="180" t="str">
        <x:v>url:4de33cb8dcf497126634</x:v>
      </x:c>
      <x:c r="D115" s="180" t="str">
        <x:v>Vented Vial Adapter Transfer Device</x:v>
      </x:c>
      <x:c r="E115" s="180" t="str"/>
      <x:c r="F115" s="180" t="str">
        <x:v>Added</x:v>
      </x:c>
      <x:c r="G115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15" s="180" t="n">
        <x:v>46224.942662037036</x:v>
      </x:c>
      <x:c r="I115" s="186" t="str">
        <x:v>Unreviewed</x:v>
      </x:c>
    </x:row>
    <x:row r="116">
      <x:c r="A116" s="185" t="n">
        <x:v>40</x:v>
      </x:c>
      <x:c r="B116" s="180" t="n">
        <x:v>1</x:v>
      </x:c>
      <x:c r="C116" s="180" t="str">
        <x:v>url:f3f99dc4b33bd04b6de8</x:v>
      </x:c>
      <x:c r="D116" s="180" t="str">
        <x:v>Vial Adapter Transfer Device</x:v>
      </x:c>
      <x:c r="E116" s="180" t="str"/>
      <x:c r="F116" s="180" t="str">
        <x:v>Added</x:v>
      </x:c>
      <x:c r="G116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16" s="180" t="n">
        <x:v>46224.942662037036</x:v>
      </x:c>
      <x:c r="I116" s="186" t="str">
        <x:v>Unreviewed</x:v>
      </x:c>
    </x:row>
    <x:row r="117">
      <x:c r="A117" s="185" t="n">
        <x:v>39</x:v>
      </x:c>
      <x:c r="B117" s="180" t="n">
        <x:v>1</x:v>
      </x:c>
      <x:c r="C117" s="180" t="str">
        <x:v>fp:61c94802cdb7cc85c281</x:v>
      </x:c>
      <x:c r="D117" s="180" t="str">
        <x:v>SmartDose 3.5mL On-Body Delivery System</x:v>
      </x:c>
      <x:c r="E117" s="180" t="str"/>
      <x:c r="F117" s="180" t="str">
        <x:v>Added</x:v>
      </x:c>
      <x:c r="G117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17" s="180" t="n">
        <x:v>46224.942662037036</x:v>
      </x:c>
      <x:c r="I117" s="186" t="str">
        <x:v>Unreviewed</x:v>
      </x:c>
    </x:row>
    <x:row r="118">
      <x:c r="A118" s="185" t="n">
        <x:v>38</x:v>
      </x:c>
      <x:c r="B118" s="180" t="n">
        <x:v>1</x:v>
      </x:c>
      <x:c r="C118" s="180" t="str">
        <x:v>url:2a33d299bede74ec8727</x:v>
      </x:c>
      <x:c r="D118" s="180" t="str">
        <x:v>SelfDose Patient-Controlled Injector</x:v>
      </x:c>
      <x:c r="E118" s="180" t="str"/>
      <x:c r="F118" s="180" t="str">
        <x:v>Added</x:v>
      </x:c>
      <x:c r="G118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18" s="180" t="n">
        <x:v>46224.942662037036</x:v>
      </x:c>
      <x:c r="I118" s="186" t="str">
        <x:v>Unreviewed</x:v>
      </x:c>
    </x:row>
    <x:row r="119">
      <x:c r="A119" s="185" t="n">
        <x:v>37</x:v>
      </x:c>
      <x:c r="B119" s="180" t="n">
        <x:v>1</x:v>
      </x:c>
      <x:c r="C119" s="180" t="str">
        <x:v>url:a6cb284148a957615868</x:v>
      </x:c>
      <x:c r="D119" s="180" t="str">
        <x:v>SmartDose 10 On-Body Delivery System</x:v>
      </x:c>
      <x:c r="E119" s="180" t="str"/>
      <x:c r="F119" s="180" t="str">
        <x:v>Added</x:v>
      </x:c>
      <x:c r="G119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19" s="180" t="n">
        <x:v>46224.942662037036</x:v>
      </x:c>
      <x:c r="I119" s="186" t="str">
        <x:v>Unreviewed</x:v>
      </x:c>
    </x:row>
    <x:row r="120">
      <x:c r="A120" s="185" t="n">
        <x:v>36</x:v>
      </x:c>
      <x:c r="B120" s="180" t="n">
        <x:v>1</x:v>
      </x:c>
      <x:c r="C120" s="180" t="str">
        <x:v>sku:ART2346</x:v>
      </x:c>
      <x:c r="D120" s="180" t="str">
        <x:v>5mL FluroTec Laminated Plunger</x:v>
      </x:c>
      <x:c r="E120" s="180" t="str">
        <x:v>Art 2346</x:v>
      </x:c>
      <x:c r="F120" s="180" t="str">
        <x:v>Added</x:v>
      </x:c>
      <x:c r="G120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20" s="180" t="n">
        <x:v>46224.942662037036</x:v>
      </x:c>
      <x:c r="I120" s="186" t="str">
        <x:v>Unreviewed</x:v>
      </x:c>
    </x:row>
    <x:row r="121">
      <x:c r="A121" s="185" t="n">
        <x:v>35</x:v>
      </x:c>
      <x:c r="B121" s="180" t="n">
        <x:v>1</x:v>
      </x:c>
      <x:c r="C121" s="180" t="str">
        <x:v>sku:ART2345</x:v>
      </x:c>
      <x:c r="D121" s="180" t="str">
        <x:v>1-3mL FluroTec Laminated Plunger</x:v>
      </x:c>
      <x:c r="E121" s="180" t="str">
        <x:v>Art 2345</x:v>
      </x:c>
      <x:c r="F121" s="180" t="str">
        <x:v>Added</x:v>
      </x:c>
      <x:c r="G121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21" s="180" t="n">
        <x:v>46224.942662037036</x:v>
      </x:c>
      <x:c r="I121" s="186" t="str">
        <x:v>Unreviewed</x:v>
      </x:c>
    </x:row>
    <x:row r="122">
      <x:c r="A122" s="185" t="n">
        <x:v>34</x:v>
      </x:c>
      <x:c r="B122" s="180" t="n">
        <x:v>1</x:v>
      </x:c>
      <x:c r="C122" s="180" t="str">
        <x:v>sku:ART2340</x:v>
      </x:c>
      <x:c r="D122" s="180" t="str">
        <x:v>1mL Long FluroTec Laminated Plunger</x:v>
      </x:c>
      <x:c r="E122" s="180" t="str">
        <x:v>Art 2340</x:v>
      </x:c>
      <x:c r="F122" s="180" t="str">
        <x:v>Added</x:v>
      </x:c>
      <x:c r="G122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22" s="180" t="n">
        <x:v>46224.942662037036</x:v>
      </x:c>
      <x:c r="I122" s="186" t="str">
        <x:v>Unreviewed</x:v>
      </x:c>
    </x:row>
    <x:row r="123">
      <x:c r="A123" s="185" t="n">
        <x:v>33</x:v>
      </x:c>
      <x:c r="B123" s="180" t="n">
        <x:v>1</x:v>
      </x:c>
      <x:c r="C123" s="180" t="str">
        <x:v>sku:ART2342</x:v>
      </x:c>
      <x:c r="D123" s="180" t="str">
        <x:v>0.5mL FluroTec Laminated Plunger</x:v>
      </x:c>
      <x:c r="E123" s="180" t="str">
        <x:v>Art 2342</x:v>
      </x:c>
      <x:c r="F123" s="180" t="str">
        <x:v>Added</x:v>
      </x:c>
      <x:c r="G123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23" s="180" t="n">
        <x:v>46224.942662037036</x:v>
      </x:c>
      <x:c r="I123" s="186" t="str">
        <x:v>Unreviewed</x:v>
      </x:c>
    </x:row>
    <x:row r="124">
      <x:c r="A124" s="185" t="n">
        <x:v>32</x:v>
      </x:c>
      <x:c r="B124" s="180" t="n">
        <x:v>1</x:v>
      </x:c>
      <x:c r="C124" s="180" t="str">
        <x:v>url:f45eda31a35158868c60</x:v>
      </x:c>
      <x:c r="D124" s="180" t="str">
        <x:v>Syringe Plungers with Westar Select Quality Level</x:v>
      </x:c>
      <x:c r="E124" s="180" t="str"/>
      <x:c r="F124" s="180" t="str">
        <x:v>Added</x:v>
      </x:c>
      <x:c r="G124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24" s="180" t="n">
        <x:v>46224.942662037036</x:v>
      </x:c>
      <x:c r="I124" s="186" t="str">
        <x:v>Unreviewed</x:v>
      </x:c>
    </x:row>
    <x:row r="125">
      <x:c r="A125" s="185" t="n">
        <x:v>31</x:v>
      </x:c>
      <x:c r="B125" s="180" t="n">
        <x:v>1</x:v>
      </x:c>
      <x:c r="C125" s="180" t="str">
        <x:v>url:97f504195ca7f90c9dbe</x:v>
      </x:c>
      <x:c r="D125" s="180" t="str">
        <x:v>Syringe Plungers with Envision Verification</x:v>
      </x:c>
      <x:c r="E125" s="180" t="str"/>
      <x:c r="F125" s="180" t="str">
        <x:v>Added</x:v>
      </x:c>
      <x:c r="G125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25" s="180" t="n">
        <x:v>46224.942662037036</x:v>
      </x:c>
      <x:c r="I125" s="186" t="str">
        <x:v>Unreviewed</x:v>
      </x:c>
    </x:row>
    <x:row r="126">
      <x:c r="A126" s="185" t="n">
        <x:v>30</x:v>
      </x:c>
      <x:c r="B126" s="180" t="n">
        <x:v>1</x:v>
      </x:c>
      <x:c r="C126" s="180" t="str">
        <x:v>url:c12550b0a12038f5812b</x:v>
      </x:c>
      <x:c r="D126" s="180" t="str">
        <x:v>FluroTec Plungers</x:v>
      </x:c>
      <x:c r="E126" s="180" t="str"/>
      <x:c r="F126" s="180" t="str">
        <x:v>Added</x:v>
      </x:c>
      <x:c r="G126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26" s="180" t="n">
        <x:v>46224.942662037036</x:v>
      </x:c>
      <x:c r="I126" s="186" t="str">
        <x:v>Unreviewed</x:v>
      </x:c>
    </x:row>
    <x:row r="127">
      <x:c r="A127" s="185" t="n">
        <x:v>29</x:v>
      </x:c>
      <x:c r="B127" s="180" t="n">
        <x:v>1</x:v>
      </x:c>
      <x:c r="C127" s="180" t="str">
        <x:v>url:a9d86c4669b5c697a01e</x:v>
      </x:c>
      <x:c r="D127" s="180" t="str">
        <x:v>1mL Long Daikyo D Sigma Piston for Glass Syringes</x:v>
      </x:c>
      <x:c r="E127" s="180" t="str"/>
      <x:c r="F127" s="180" t="str">
        <x:v>Added</x:v>
      </x:c>
      <x:c r="G127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27" s="180" t="n">
        <x:v>46224.942662037036</x:v>
      </x:c>
      <x:c r="I127" s="186" t="str">
        <x:v>Unreviewed</x:v>
      </x:c>
    </x:row>
    <x:row r="128">
      <x:c r="A128" s="185" t="n">
        <x:v>28</x:v>
      </x:c>
      <x:c r="B128" s="180" t="n">
        <x:v>1</x:v>
      </x:c>
      <x:c r="C128" s="180" t="str">
        <x:v>url:1e1fa5adb8f96d4c7fda</x:v>
      </x:c>
      <x:c r="D128" s="180" t="str">
        <x:v>NovaPure Syringe Plungers</x:v>
      </x:c>
      <x:c r="E128" s="180" t="str"/>
      <x:c r="F128" s="180" t="str">
        <x:v>Added</x:v>
      </x:c>
      <x:c r="G128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28" s="180" t="n">
        <x:v>46224.942662037036</x:v>
      </x:c>
      <x:c r="I128" s="186" t="str">
        <x:v>Unreviewed</x:v>
      </x:c>
    </x:row>
    <x:row r="129">
      <x:c r="A129" s="185" t="n">
        <x:v>27</x:v>
      </x:c>
      <x:c r="B129" s="180" t="n">
        <x:v>1</x:v>
      </x:c>
      <x:c r="C129" s="180" t="str">
        <x:v>url:8499cf6fc9e389f752dd</x:v>
      </x:c>
      <x:c r="D129" s="180" t="str">
        <x:v>Daikyo Crystal Zenith Ophthalmic 0.5mL Luer Lock Syringe</x:v>
      </x:c>
      <x:c r="E129" s="180" t="str"/>
      <x:c r="F129" s="180" t="str">
        <x:v>Added</x:v>
      </x:c>
      <x:c r="G129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29" s="180" t="n">
        <x:v>46224.942662037036</x:v>
      </x:c>
      <x:c r="I129" s="186" t="str">
        <x:v>Unreviewed</x:v>
      </x:c>
    </x:row>
    <x:row r="130">
      <x:c r="A130" s="185" t="n">
        <x:v>26</x:v>
      </x:c>
      <x:c r="B130" s="180" t="n">
        <x:v>1</x:v>
      </x:c>
      <x:c r="C130" s="180" t="str">
        <x:v>url:dcc9c89a4892a644c2f0</x:v>
      </x:c>
      <x:c r="D130" s="180" t="str">
        <x:v>Daikyo Crystal Zenith 2.25mL Insert Needle Syringe</x:v>
      </x:c>
      <x:c r="E130" s="180" t="str"/>
      <x:c r="F130" s="180" t="str">
        <x:v>Added</x:v>
      </x:c>
      <x:c r="G130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30" s="180" t="n">
        <x:v>46224.942662037036</x:v>
      </x:c>
      <x:c r="I130" s="186" t="str">
        <x:v>Unreviewed</x:v>
      </x:c>
    </x:row>
    <x:row r="131">
      <x:c r="A131" s="185" t="n">
        <x:v>25</x:v>
      </x:c>
      <x:c r="B131" s="180" t="n">
        <x:v>1</x:v>
      </x:c>
      <x:c r="C131" s="180" t="str">
        <x:v>url:d3438a99c95e16cd219e</x:v>
      </x:c>
      <x:c r="D131" s="180" t="str">
        <x:v>Daikyo Crystal Zenith 1mL Long Insert Needle Syringe</x:v>
      </x:c>
      <x:c r="E131" s="180" t="str"/>
      <x:c r="F131" s="180" t="str">
        <x:v>Added</x:v>
      </x:c>
      <x:c r="G131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31" s="180" t="n">
        <x:v>46224.942662037036</x:v>
      </x:c>
      <x:c r="I131" s="186" t="str">
        <x:v>Unreviewed</x:v>
      </x:c>
    </x:row>
    <x:row r="132">
      <x:c r="A132" s="185" t="n">
        <x:v>24</x:v>
      </x:c>
      <x:c r="B132" s="180" t="n">
        <x:v>1</x:v>
      </x:c>
      <x:c r="C132" s="180" t="str">
        <x:v>url:5ea941279686ff7f9598</x:v>
      </x:c>
      <x:c r="D132" s="180" t="str">
        <x:v>Daikyo Crystal Zenith Polymer Ready-to-Use Prefillable Syringes</x:v>
      </x:c>
      <x:c r="E132" s="180" t="str"/>
      <x:c r="F132" s="180" t="str">
        <x:v>Added</x:v>
      </x:c>
      <x:c r="G132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32" s="180" t="n">
        <x:v>46224.942662037036</x:v>
      </x:c>
      <x:c r="I132" s="186" t="str">
        <x:v>Unreviewed</x:v>
      </x:c>
    </x:row>
    <x:row r="133">
      <x:c r="A133" s="185" t="n">
        <x:v>23</x:v>
      </x:c>
      <x:c r="B133" s="180" t="n">
        <x:v>1</x:v>
      </x:c>
      <x:c r="C133" s="180" t="str">
        <x:v>url:6c673c53ddbcd1c5828c</x:v>
      </x:c>
      <x:c r="D133" s="180" t="str">
        <x:v>West Synchrony S1 Prefillable Syringe System</x:v>
      </x:c>
      <x:c r="E133" s="180" t="str"/>
      <x:c r="F133" s="180" t="str">
        <x:v>Added</x:v>
      </x:c>
      <x:c r="G133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33" s="180" t="n">
        <x:v>46224.942662037036</x:v>
      </x:c>
      <x:c r="I133" s="186" t="str">
        <x:v>Unreviewed</x:v>
      </x:c>
    </x:row>
    <x:row r="134">
      <x:c r="A134" s="185" t="n">
        <x:v>22</x:v>
      </x:c>
      <x:c r="B134" s="180" t="n">
        <x:v>1</x:v>
      </x:c>
      <x:c r="C134" s="180" t="str">
        <x:v>url:e631cc28a31333829be1</x:v>
      </x:c>
      <x:c r="D134" s="180" t="str">
        <x:v>West Ready Pack Containment Solution</x:v>
      </x:c>
      <x:c r="E134" s="180" t="str"/>
      <x:c r="F134" s="180" t="str">
        <x:v>Added</x:v>
      </x:c>
      <x:c r="G134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34" s="180" t="n">
        <x:v>46224.942662037036</x:v>
      </x:c>
      <x:c r="I134" s="186" t="str">
        <x:v>Unreviewed</x:v>
      </x:c>
    </x:row>
    <x:row r="135">
      <x:c r="A135" s="185" t="n">
        <x:v>21</x:v>
      </x:c>
      <x:c r="B135" s="180" t="n">
        <x:v>1</x:v>
      </x:c>
      <x:c r="C135" s="180" t="str">
        <x:v>url:e76b78051366ba9fa165</x:v>
      </x:c>
      <x:c r="D135" s="180" t="str">
        <x:v>AccelTRA Offer</x:v>
      </x:c>
      <x:c r="E135" s="180" t="str"/>
      <x:c r="F135" s="180" t="str">
        <x:v>Added</x:v>
      </x:c>
      <x:c r="G135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35" s="180" t="n">
        <x:v>46224.942662037036</x:v>
      </x:c>
      <x:c r="I135" s="186" t="str">
        <x:v>Unreviewed</x:v>
      </x:c>
    </x:row>
    <x:row r="136">
      <x:c r="A136" s="185" t="n">
        <x:v>20</x:v>
      </x:c>
      <x:c r="B136" s="180" t="n">
        <x:v>1</x:v>
      </x:c>
      <x:c r="C136" s="180" t="str">
        <x:v>url:03518986dd8bdb007540</x:v>
      </x:c>
      <x:c r="D136" s="180" t="str">
        <x:v>NovaPure Components</x:v>
      </x:c>
      <x:c r="E136" s="180" t="str"/>
      <x:c r="F136" s="180" t="str">
        <x:v>Added</x:v>
      </x:c>
      <x:c r="G136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36" s="180" t="n">
        <x:v>46224.942662037036</x:v>
      </x:c>
      <x:c r="I136" s="186" t="str">
        <x:v>Unreviewed</x:v>
      </x:c>
    </x:row>
    <x:row r="137">
      <x:c r="A137" s="185" t="n">
        <x:v>19</x:v>
      </x:c>
      <x:c r="B137" s="180" t="n">
        <x:v>1</x:v>
      </x:c>
      <x:c r="C137" s="180" t="str">
        <x:v>url:033d054d2a380f34b577</x:v>
      </x:c>
      <x:c r="D137" s="180" t="str">
        <x:v>SG EZ-fill Vials</x:v>
      </x:c>
      <x:c r="E137" s="180" t="str"/>
      <x:c r="F137" s="180" t="str">
        <x:v>Added</x:v>
      </x:c>
      <x:c r="G137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37" s="180" t="n">
        <x:v>46224.942662037036</x:v>
      </x:c>
      <x:c r="I137" s="186" t="str">
        <x:v>Unreviewed</x:v>
      </x:c>
    </x:row>
    <x:row r="138">
      <x:c r="A138" s="185" t="n">
        <x:v>18</x:v>
      </x:c>
      <x:c r="B138" s="180" t="n">
        <x:v>1</x:v>
      </x:c>
      <x:c r="C138" s="180" t="str">
        <x:v>url:0faba7d97249792bab02</x:v>
      </x:c>
      <x:c r="D138" s="180" t="str">
        <x:v>SCHOTT adaptiQ Vials</x:v>
      </x:c>
      <x:c r="E138" s="180" t="str"/>
      <x:c r="F138" s="180" t="str">
        <x:v>Added</x:v>
      </x:c>
      <x:c r="G138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38" s="180" t="n">
        <x:v>46224.942662037036</x:v>
      </x:c>
      <x:c r="I138" s="186" t="str">
        <x:v>Unreviewed</x:v>
      </x:c>
    </x:row>
    <x:row r="139">
      <x:c r="A139" s="185" t="n">
        <x:v>17</x:v>
      </x:c>
      <x:c r="B139" s="180" t="n">
        <x:v>1</x:v>
      </x:c>
      <x:c r="C139" s="180" t="str">
        <x:v>url:f5cb56eb4e4ad272755b</x:v>
      </x:c>
      <x:c r="D139" s="180" t="str">
        <x:v>Corning Valor Glass Vials</x:v>
      </x:c>
      <x:c r="E139" s="180" t="str"/>
      <x:c r="F139" s="180" t="str">
        <x:v>Added</x:v>
      </x:c>
      <x:c r="G139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39" s="180" t="n">
        <x:v>46224.942662037036</x:v>
      </x:c>
      <x:c r="I139" s="186" t="str">
        <x:v>Unreviewed</x:v>
      </x:c>
    </x:row>
    <x:row r="140">
      <x:c r="A140" s="185" t="n">
        <x:v>16</x:v>
      </x:c>
      <x:c r="B140" s="180" t="n">
        <x:v>1</x:v>
      </x:c>
      <x:c r="C140" s="180" t="str">
        <x:v>url:280c261955340c4686dc</x:v>
      </x:c>
      <x:c r="D140" s="180" t="str">
        <x:v>Daikyo Crystal Zenith Vials</x:v>
      </x:c>
      <x:c r="E140" s="180" t="str"/>
      <x:c r="F140" s="180" t="str">
        <x:v>Added</x:v>
      </x:c>
      <x:c r="G140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40" s="180" t="n">
        <x:v>46224.942662037036</x:v>
      </x:c>
      <x:c r="I140" s="186" t="str">
        <x:v>Unreviewed</x:v>
      </x:c>
    </x:row>
    <x:row r="141">
      <x:c r="A141" s="185" t="n">
        <x:v>15</x:v>
      </x:c>
      <x:c r="B141" s="180" t="n">
        <x:v>1</x:v>
      </x:c>
      <x:c r="C141" s="180" t="str">
        <x:v>url:a95986b4092a6d1c3df3</x:v>
      </x:c>
      <x:c r="D141" s="180" t="str">
        <x:v>Stoppers with Westar Quality Level</x:v>
      </x:c>
      <x:c r="E141" s="180" t="str"/>
      <x:c r="F141" s="180" t="str">
        <x:v>Added</x:v>
      </x:c>
      <x:c r="G141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41" s="180" t="n">
        <x:v>46224.942662037036</x:v>
      </x:c>
      <x:c r="I141" s="186" t="str">
        <x:v>Unreviewed</x:v>
      </x:c>
    </x:row>
    <x:row r="142">
      <x:c r="A142" s="185" t="n">
        <x:v>14</x:v>
      </x:c>
      <x:c r="B142" s="180" t="n">
        <x:v>1</x:v>
      </x:c>
      <x:c r="C142" s="180" t="str">
        <x:v>url:e91edfd1749b736e8750</x:v>
      </x:c>
      <x:c r="D142" s="180" t="str">
        <x:v>4031/45 Westar Select Stoppers for Animal Health</x:v>
      </x:c>
      <x:c r="E142" s="180" t="str"/>
      <x:c r="F142" s="180" t="str">
        <x:v>Added</x:v>
      </x:c>
      <x:c r="G142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42" s="180" t="n">
        <x:v>46224.942662037036</x:v>
      </x:c>
      <x:c r="I142" s="186" t="str">
        <x:v>Unreviewed</x:v>
      </x:c>
    </x:row>
    <x:row r="143">
      <x:c r="A143" s="185" t="n">
        <x:v>13</x:v>
      </x:c>
      <x:c r="B143" s="180" t="n">
        <x:v>1</x:v>
      </x:c>
      <x:c r="C143" s="180" t="str">
        <x:v>url:e75f7245b06fe1f52a33</x:v>
      </x:c>
      <x:c r="D143" s="180" t="str">
        <x:v>Stoppers with Westar Select Quality Level</x:v>
      </x:c>
      <x:c r="E143" s="180" t="str"/>
      <x:c r="F143" s="180" t="str">
        <x:v>Added</x:v>
      </x:c>
      <x:c r="G143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43" s="180" t="n">
        <x:v>46224.942662037036</x:v>
      </x:c>
      <x:c r="I143" s="186" t="str">
        <x:v>Unreviewed</x:v>
      </x:c>
    </x:row>
    <x:row r="144">
      <x:c r="A144" s="185" t="n">
        <x:v>12</x:v>
      </x:c>
      <x:c r="B144" s="180" t="n">
        <x:v>1</x:v>
      </x:c>
      <x:c r="C144" s="180" t="str">
        <x:v>url:67426e2eacf1b0ca2239</x:v>
      </x:c>
      <x:c r="D144" s="180" t="str">
        <x:v>LyoTec Stoppers</x:v>
      </x:c>
      <x:c r="E144" s="180" t="str"/>
      <x:c r="F144" s="180" t="str">
        <x:v>Added</x:v>
      </x:c>
      <x:c r="G144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44" s="180" t="n">
        <x:v>46224.942662037036</x:v>
      </x:c>
      <x:c r="I144" s="186" t="str">
        <x:v>Unreviewed</x:v>
      </x:c>
    </x:row>
    <x:row r="145">
      <x:c r="A145" s="185" t="n">
        <x:v>11</x:v>
      </x:c>
      <x:c r="B145" s="180" t="n">
        <x:v>1</x:v>
      </x:c>
      <x:c r="C145" s="180" t="str">
        <x:v>url:ebd54f8baadb894107a7</x:v>
      </x:c>
      <x:c r="D145" s="180" t="str">
        <x:v>FluroTec Barrier Film Stoppers</x:v>
      </x:c>
      <x:c r="E145" s="180" t="str"/>
      <x:c r="F145" s="180" t="str">
        <x:v>Added</x:v>
      </x:c>
      <x:c r="G145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45" s="180" t="n">
        <x:v>46224.942662037036</x:v>
      </x:c>
      <x:c r="I145" s="186" t="str">
        <x:v>Unreviewed</x:v>
      </x:c>
    </x:row>
    <x:row r="146">
      <x:c r="A146" s="185" t="n">
        <x:v>10</x:v>
      </x:c>
      <x:c r="B146" s="180" t="n">
        <x:v>1</x:v>
      </x:c>
      <x:c r="C146" s="180" t="str">
        <x:v>url:ad89c9d44ae22b9d734c</x:v>
      </x:c>
      <x:c r="D146" s="180" t="str">
        <x:v>Envision Verified Stoppers</x:v>
      </x:c>
      <x:c r="E146" s="180" t="str"/>
      <x:c r="F146" s="180" t="str">
        <x:v>Added</x:v>
      </x:c>
      <x:c r="G146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46" s="180" t="n">
        <x:v>46224.942662037036</x:v>
      </x:c>
      <x:c r="I146" s="186" t="str">
        <x:v>Unreviewed</x:v>
      </x:c>
    </x:row>
    <x:row r="147">
      <x:c r="A147" s="185" t="n">
        <x:v>9</x:v>
      </x:c>
      <x:c r="B147" s="180" t="n">
        <x:v>1</x:v>
      </x:c>
      <x:c r="C147" s="180" t="str">
        <x:v>url:3a3fcc2dec7b131454dd</x:v>
      </x:c>
      <x:c r="D147" s="180" t="str">
        <x:v>Daikyo RUV and RSV Stoppers</x:v>
      </x:c>
      <x:c r="E147" s="180" t="str"/>
      <x:c r="F147" s="180" t="str">
        <x:v>Added</x:v>
      </x:c>
      <x:c r="G147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47" s="180" t="n">
        <x:v>46224.942662037036</x:v>
      </x:c>
      <x:c r="I147" s="186" t="str">
        <x:v>Unreviewed</x:v>
      </x:c>
    </x:row>
    <x:row r="148">
      <x:c r="A148" s="185" t="n">
        <x:v>8</x:v>
      </x:c>
      <x:c r="B148" s="180" t="n">
        <x:v>1</x:v>
      </x:c>
      <x:c r="C148" s="180" t="str">
        <x:v>url:f61a181bc08552de0c01</x:v>
      </x:c>
      <x:c r="D148" s="180" t="str">
        <x:v>Daikyo D Sigma Stoppers</x:v>
      </x:c>
      <x:c r="E148" s="180" t="str"/>
      <x:c r="F148" s="180" t="str">
        <x:v>Added</x:v>
      </x:c>
      <x:c r="G148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48" s="180" t="n">
        <x:v>46224.942662037036</x:v>
      </x:c>
      <x:c r="I148" s="186" t="str">
        <x:v>Unreviewed</x:v>
      </x:c>
    </x:row>
    <x:row r="149">
      <x:c r="A149" s="185" t="n">
        <x:v>7</x:v>
      </x:c>
      <x:c r="B149" s="180" t="n">
        <x:v>1</x:v>
      </x:c>
      <x:c r="C149" s="180" t="str">
        <x:v>url:bb80e68544edc2951179</x:v>
      </x:c>
      <x:c r="D149" s="180" t="str">
        <x:v>4040 LyoTec Stoppers</x:v>
      </x:c>
      <x:c r="E149" s="180" t="str"/>
      <x:c r="F149" s="180" t="str">
        <x:v>Added</x:v>
      </x:c>
      <x:c r="G149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49" s="180" t="n">
        <x:v>46224.942662037036</x:v>
      </x:c>
      <x:c r="I149" s="186" t="str">
        <x:v>Unreviewed</x:v>
      </x:c>
    </x:row>
    <x:row r="150">
      <x:c r="A150" s="185" t="n">
        <x:v>6</x:v>
      </x:c>
      <x:c r="B150" s="180" t="n">
        <x:v>1</x:v>
      </x:c>
      <x:c r="C150" s="180" t="str">
        <x:v>url:67f8da71c3a530332b0b</x:v>
      </x:c>
      <x:c r="D150" s="180" t="str">
        <x:v>NovaPure Stoppers</x:v>
      </x:c>
      <x:c r="E150" s="180" t="str"/>
      <x:c r="F150" s="180" t="str">
        <x:v>Added</x:v>
      </x:c>
      <x:c r="G150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50" s="180" t="n">
        <x:v>46224.942662037036</x:v>
      </x:c>
      <x:c r="I150" s="186" t="str">
        <x:v>Unreviewed</x:v>
      </x:c>
    </x:row>
    <x:row r="151">
      <x:c r="A151" s="185" t="n">
        <x:v>5</x:v>
      </x:c>
      <x:c r="B151" s="180" t="n">
        <x:v>1</x:v>
      </x:c>
      <x:c r="C151" s="180" t="str">
        <x:v>url:35cbd5a86baf1233cd7e</x:v>
      </x:c>
      <x:c r="D151" s="180" t="str">
        <x:v>West Spectra Seals</x:v>
      </x:c>
      <x:c r="E151" s="180" t="str"/>
      <x:c r="F151" s="180" t="str">
        <x:v>Added</x:v>
      </x:c>
      <x:c r="G151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51" s="180" t="n">
        <x:v>46224.942662037036</x:v>
      </x:c>
      <x:c r="I151" s="186" t="str">
        <x:v>Unreviewed</x:v>
      </x:c>
    </x:row>
    <x:row r="152">
      <x:c r="A152" s="185" t="n">
        <x:v>4</x:v>
      </x:c>
      <x:c r="B152" s="180" t="n">
        <x:v>1</x:v>
      </x:c>
      <x:c r="C152" s="180" t="str">
        <x:v>url:e2dedc78c46d5c35d09f</x:v>
      </x:c>
      <x:c r="D152" s="180" t="str">
        <x:v>Flip-Off Seals</x:v>
      </x:c>
      <x:c r="E152" s="180" t="str"/>
      <x:c r="F152" s="180" t="str">
        <x:v>Added</x:v>
      </x:c>
      <x:c r="G152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52" s="180" t="n">
        <x:v>46224.942662037036</x:v>
      </x:c>
      <x:c r="I152" s="186" t="str">
        <x:v>Unreviewed</x:v>
      </x:c>
    </x:row>
    <x:row r="153">
      <x:c r="A153" s="185" t="n">
        <x:v>3</x:v>
      </x:c>
      <x:c r="B153" s="180" t="n">
        <x:v>1</x:v>
      </x:c>
      <x:c r="C153" s="180" t="str">
        <x:v>url:8a8db1e58094c5a602aa</x:v>
      </x:c>
      <x:c r="D153" s="180" t="str">
        <x:v>Flip-Off Plus RU Seals</x:v>
      </x:c>
      <x:c r="E153" s="180" t="str"/>
      <x:c r="F153" s="180" t="str">
        <x:v>Added</x:v>
      </x:c>
      <x:c r="G153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53" s="180" t="n">
        <x:v>46224.942662037036</x:v>
      </x:c>
      <x:c r="I153" s="186" t="str">
        <x:v>Unreviewed</x:v>
      </x:c>
    </x:row>
    <x:row r="154">
      <x:c r="A154" s="185" t="n">
        <x:v>2</x:v>
      </x:c>
      <x:c r="B154" s="180" t="n">
        <x:v>1</x:v>
      </x:c>
      <x:c r="C154" s="180" t="str">
        <x:v>url:42f526ebe00bef4ccd21</x:v>
      </x:c>
      <x:c r="D154" s="180" t="str">
        <x:v>Flip-Off CCS Seals</x:v>
      </x:c>
      <x:c r="E154" s="180" t="str"/>
      <x:c r="F154" s="180" t="str">
        <x:v>Added</x:v>
      </x:c>
      <x:c r="G154" s="180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54" s="180" t="n">
        <x:v>46224.942662037036</x:v>
      </x:c>
      <x:c r="I154" s="186" t="str">
        <x:v>Unreviewed</x:v>
      </x:c>
    </x:row>
    <x:row r="155">
      <x:c r="A155" s="187" t="n">
        <x:v>1</x:v>
      </x:c>
      <x:c r="B155" s="188" t="n">
        <x:v>1</x:v>
      </x:c>
      <x:c r="C155" s="188" t="str">
        <x:v>url:1e928d3bbe2dcdb31884</x:v>
      </x:c>
      <x:c r="D155" s="188" t="str">
        <x:v>Daikyo PLASCAP RUV Closures</x:v>
      </x:c>
      <x:c r="E155" s="188" t="str"/>
      <x:c r="F155" s="188" t="str">
        <x:v>Added</x:v>
      </x:c>
      <x:c r="G155" s="188" t="str">
        <x:v>entity,relationship,brand,category,subcategory,product_name,product_level,item_number,size,closure_size,formulation,processing,coating,inspection,packaging,pack_quantity,region,availability,current_status,confidence,coverage_status,source_name,source_url,notes</x:v>
      </x:c>
      <x:c r="H155" s="188" t="n">
        <x:v>46224.942662037036</x:v>
      </x:c>
      <x:c r="I155" s="189" t="str">
        <x:v>Unreviewed</x:v>
      </x:c>
    </x:row>
  </x:sheetData>
  <x:mergeCells>
    <x:mergeCell ref="A1:I1"/>
    <x:mergeCell ref="A2:I2"/>
  </x:mergeCells>
  <x:conditionalFormatting sqref="F5:F155">
    <x:cfRule type="expression" dxfId="2" priority="1">
      <x:formula>F5="Added"</x:formula>
    </x:cfRule>
    <x:cfRule type="expression" dxfId="3" priority="2">
      <x:formula>F5="Removed"</x:formula>
    </x:cfRule>
  </x:conditionalFormatting>
  <x:dataValidations count="1">
    <x:dataValidation type="list" sqref="I5:I155">
      <x:formula1>"Unreviewed,Reviewed,Confirmed commercial change,False positive,Needs follow-up"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1673950c9d47e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0" hidden="0" customWidth="1"/>
    <x:col min="4" max="4" width="52" hidden="0" customWidth="1"/>
    <x:col min="5" max="5" width="24" hidden="0" customWidth="1"/>
    <x:col min="6" max="6" width="19" hidden="0" customWidth="1"/>
    <x:col min="7" max="7" width="14" hidden="0" customWidth="1"/>
    <x:col min="8" max="8" width="10" hidden="0" customWidth="1"/>
    <x:col min="9" max="9" width="55" hidden="0" customWidth="1"/>
    <x:col min="10" max="10" width="15" hidden="0" customWidth="1"/>
    <x:col min="11" max="11" width="22" hidden="0" customWidth="1"/>
    <x:col min="12" max="12" width="35" hidden="0" customWidth="1"/>
  </x:cols>
  <x:sheetData>
    <x:row r="1" ht="30" customHeight="1">
      <x:c r="A1" s="222" t="str">
        <x:v>Source Registry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8" customHeight="1">
      <x:c r="A2" s="13" t="str">
        <x:v>Source universe, update cadence and scope. Authentication-required sources are the control points for material-master completeness.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>
      <x:c r="A4" s="121" t="str">
        <x:v>Source ID</x:v>
      </x:c>
      <x:c r="B4" s="121" t="str">
        <x:v>Source Name</x:v>
      </x:c>
      <x:c r="C4" s="121" t="str">
        <x:v>Owner Entity</x:v>
      </x:c>
      <x:c r="D4" s="121" t="str">
        <x:v>URL</x:v>
      </x:c>
      <x:c r="E4" s="121" t="str">
        <x:v>Source Type</x:v>
      </x:c>
      <x:c r="F4" s="121" t="str">
        <x:v>Authentication Required</x:v>
      </x:c>
      <x:c r="G4" s="121" t="str">
        <x:v>Cadence</x:v>
      </x:c>
      <x:c r="H4" s="121" t="str">
        <x:v>Priority</x:v>
      </x:c>
      <x:c r="I4" s="121" t="str">
        <x:v>Scope</x:v>
      </x:c>
      <x:c r="J4" s="121" t="str">
        <x:v>Status</x:v>
      </x:c>
      <x:c r="K4" s="121" t="str">
        <x:v>Last Success</x:v>
      </x:c>
      <x:c r="L4" s="121" t="str">
        <x:v>Last Error</x:v>
      </x:c>
    </x:row>
    <x:row r="5">
      <x:c r="A5" s="182" t="str">
        <x:v>account-manager-export</x:v>
      </x:c>
      <x:c r="B5" s="183" t="str">
        <x:v>West account-manager master material export</x:v>
      </x:c>
      <x:c r="C5" s="183" t="str">
        <x:v>West Pharmaceutical Services, Inc.</x:v>
      </x:c>
      <x:c r="D5" s="183" t="str"/>
      <x:c r="E5" s="183" t="str">
        <x:v>local_ingest</x:v>
      </x:c>
      <x:c r="F5" s="183" t="str">
        <x:v>Yes</x:v>
      </x:c>
      <x:c r="G5" s="183" t="str">
        <x:v>quarterly</x:v>
      </x:c>
      <x:c r="H5" s="183" t="n">
        <x:v>1</x:v>
      </x:c>
      <x:c r="I5" s="183" t="str">
        <x:v>Required control source for a defensible claim of complete material-number coverage</x:v>
      </x:c>
      <x:c r="J5" s="183" t="str">
        <x:v>Active</x:v>
      </x:c>
      <x:c r="K5" s="183"/>
      <x:c r="L5" s="184"/>
    </x:row>
    <x:row r="6">
      <x:c r="A6" s="185" t="str">
        <x:v>customer-docs</x:v>
      </x:c>
      <x:c r="B6" s="180" t="str">
        <x:v>Customer purchase orders, invoices and approved vendor catalogs</x:v>
      </x:c>
      <x:c r="C6" s="180" t="str">
        <x:v>User-provided</x:v>
      </x:c>
      <x:c r="D6" s="180" t="str"/>
      <x:c r="E6" s="180" t="str">
        <x:v>local_ingest</x:v>
      </x:c>
      <x:c r="F6" s="180" t="str">
        <x:v>Yes</x:v>
      </x:c>
      <x:c r="G6" s="180" t="str">
        <x:v>monthly</x:v>
      </x:c>
      <x:c r="H6" s="180" t="n">
        <x:v>1</x:v>
      </x:c>
      <x:c r="I6" s="180" t="str">
        <x:v>Best source for sold-but-not-public material numbers and custom products</x:v>
      </x:c>
      <x:c r="J6" s="180" t="str">
        <x:v>Active</x:v>
      </x:c>
      <x:c r="K6" s="180"/>
      <x:c r="L6" s="186"/>
    </x:row>
    <x:row r="7">
      <x:c r="A7" s="185" t="str">
        <x:v>daikyo-product-portal</x:v>
      </x:c>
      <x:c r="B7" s="180" t="str">
        <x:v>Daikyo dedicated product portal</x:v>
      </x:c>
      <x:c r="C7" s="180" t="str">
        <x:v>Daikyo Seiko, Ltd.</x:v>
      </x:c>
      <x:c r="D7" s="180" t="str">
        <x:v>https://www.daikyo-seiko.com/</x:v>
      </x:c>
      <x:c r="E7" s="180" t="str">
        <x:v>html_hierarchy</x:v>
      </x:c>
      <x:c r="F7" s="180" t="str">
        <x:v>No</x:v>
      </x:c>
      <x:c r="G7" s="180" t="str">
        <x:v>monthly</x:v>
      </x:c>
      <x:c r="H7" s="180" t="n">
        <x:v>1</x:v>
      </x:c>
      <x:c r="I7" s="180" t="str">
        <x:v>Detailed Daikyo configurations and product documents</x:v>
      </x:c>
      <x:c r="J7" s="180" t="str">
        <x:v>Active</x:v>
      </x:c>
      <x:c r="K7" s="180"/>
      <x:c r="L7" s="186"/>
    </x:row>
    <x:row r="8">
      <x:c r="A8" s="185" t="str">
        <x:v>daikyo-products</x:v>
      </x:c>
      <x:c r="B8" s="180" t="str">
        <x:v>Daikyo English product site</x:v>
      </x:c>
      <x:c r="C8" s="180" t="str">
        <x:v>Daikyo Seiko, Ltd.</x:v>
      </x:c>
      <x:c r="D8" s="180" t="str">
        <x:v>https://www.daikyoseiko.jp/en/product/</x:v>
      </x:c>
      <x:c r="E8" s="180" t="str">
        <x:v>html_hierarchy</x:v>
      </x:c>
      <x:c r="F8" s="180" t="str">
        <x:v>No</x:v>
      </x:c>
      <x:c r="G8" s="180" t="str">
        <x:v>monthly</x:v>
      </x:c>
      <x:c r="H8" s="180" t="n">
        <x:v>1</x:v>
      </x:c>
      <x:c r="I8" s="180" t="str">
        <x:v>Products licensed, distributed or co-developed with West</x:v>
      </x:c>
      <x:c r="J8" s="180" t="str">
        <x:v>Active</x:v>
      </x:c>
      <x:c r="K8" s="180"/>
      <x:c r="L8" s="186"/>
    </x:row>
    <x:row r="9">
      <x:c r="A9" s="185" t="str">
        <x:v>fda-510k</x:v>
      </x:c>
      <x:c r="B9" s="180" t="str">
        <x:v>FDA 510(k) database</x:v>
      </x:c>
      <x:c r="C9" s="180" t="str">
        <x:v>U.S. Food and Drug Administration</x:v>
      </x:c>
      <x:c r="D9" s="180" t="str">
        <x:v>https://www.accessdata.fda.gov/scripts/cdrh/cfdocs/cfpmn/pmn.cfm</x:v>
      </x:c>
      <x:c r="E9" s="180" t="str">
        <x:v>regulatory_database</x:v>
      </x:c>
      <x:c r="F9" s="180" t="str">
        <x:v>No</x:v>
      </x:c>
      <x:c r="G9" s="180" t="str">
        <x:v>monthly</x:v>
      </x:c>
      <x:c r="H9" s="180" t="n">
        <x:v>1</x:v>
      </x:c>
      <x:c r="I9" s="180" t="str">
        <x:v>West Pharma Services IL, Medimop, Tech Group and device-name discovery</x:v>
      </x:c>
      <x:c r="J9" s="180" t="str">
        <x:v>Active</x:v>
      </x:c>
      <x:c r="K9" s="180"/>
      <x:c r="L9" s="186"/>
    </x:row>
    <x:row r="10">
      <x:c r="A10" s="185" t="str">
        <x:v>openfda-510k</x:v>
      </x:c>
      <x:c r="B10" s="180" t="str">
        <x:v>openFDA 510(k) API</x:v>
      </x:c>
      <x:c r="C10" s="180" t="str">
        <x:v>U.S. Food and Drug Administration</x:v>
      </x:c>
      <x:c r="D10" s="180" t="str">
        <x:v>https://api.fda.gov/device/510k.json</x:v>
      </x:c>
      <x:c r="E10" s="180" t="str">
        <x:v>api</x:v>
      </x:c>
      <x:c r="F10" s="180" t="str">
        <x:v>No</x:v>
      </x:c>
      <x:c r="G10" s="180" t="str">
        <x:v>monthly</x:v>
      </x:c>
      <x:c r="H10" s="180" t="n">
        <x:v>1</x:v>
      </x:c>
      <x:c r="I10" s="180" t="str">
        <x:v>Automated regulatory product discovery</x:v>
      </x:c>
      <x:c r="J10" s="180" t="str">
        <x:v>Active</x:v>
      </x:c>
      <x:c r="K10" s="180"/>
      <x:c r="L10" s="186"/>
    </x:row>
    <x:row r="11">
      <x:c r="A11" s="185" t="str">
        <x:v>west-account</x:v>
      </x:c>
      <x:c r="B11" s="180" t="str">
        <x:v>West My Account / Knowledge Center</x:v>
      </x:c>
      <x:c r="C11" s="180" t="str">
        <x:v>West Pharmaceutical Services, Inc.</x:v>
      </x:c>
      <x:c r="D11" s="180" t="str">
        <x:v>https://www.westpharma.com/</x:v>
      </x:c>
      <x:c r="E11" s="180" t="str">
        <x:v>authenticated_browser</x:v>
      </x:c>
      <x:c r="F11" s="180" t="str">
        <x:v>Yes</x:v>
      </x:c>
      <x:c r="G11" s="180" t="str">
        <x:v>monthly</x:v>
      </x:c>
      <x:c r="H11" s="180" t="n">
        <x:v>1</x:v>
      </x:c>
      <x:c r="I11" s="180" t="str">
        <x:v>Material-number search, specifications, drawings, authenticated catalog and account-specific availability</x:v>
      </x:c>
      <x:c r="J11" s="180" t="str">
        <x:v>Active</x:v>
      </x:c>
      <x:c r="K11" s="180"/>
      <x:c r="L11" s="186"/>
    </x:row>
    <x:row r="12">
      <x:c r="A12" s="185" t="str">
        <x:v>west-media</x:v>
      </x:c>
      <x:c r="B12" s="180" t="str">
        <x:v>West product PDFs and media library</x:v>
      </x:c>
      <x:c r="C12" s="180" t="str">
        <x:v>West Pharmaceutical Services, Inc.</x:v>
      </x:c>
      <x:c r="D12" s="180" t="str">
        <x:v>https://www.westpharma.com/-/media/WestPharma/Files/Products/</x:v>
      </x:c>
      <x:c r="E12" s="180" t="str">
        <x:v>pdf_discovery</x:v>
      </x:c>
      <x:c r="F12" s="180" t="str">
        <x:v>No</x:v>
      </x:c>
      <x:c r="G12" s="180" t="str">
        <x:v>monthly</x:v>
      </x:c>
      <x:c r="H12" s="180" t="n">
        <x:v>1</x:v>
      </x:c>
      <x:c r="I12" s="180" t="str">
        <x:v>Information sheets, sell sheets, technical sheets, IFUs and item-number tables</x:v>
      </x:c>
      <x:c r="J12" s="180" t="str">
        <x:v>Active</x:v>
      </x:c>
      <x:c r="K12" s="180"/>
      <x:c r="L12" s="186"/>
    </x:row>
    <x:row r="13">
      <x:c r="A13" s="185" t="str">
        <x:v>west-news</x:v>
      </x:c>
      <x:c r="B13" s="180" t="str">
        <x:v>West news and investor releases</x:v>
      </x:c>
      <x:c r="C13" s="180" t="str">
        <x:v>West Pharmaceutical Services, Inc.</x:v>
      </x:c>
      <x:c r="D13" s="180" t="str">
        <x:v>https://investor.westpharma.com/news-releases</x:v>
      </x:c>
      <x:c r="E13" s="180" t="str">
        <x:v>news</x:v>
      </x:c>
      <x:c r="F13" s="180" t="str">
        <x:v>No</x:v>
      </x:c>
      <x:c r="G13" s="180" t="str">
        <x:v>daily</x:v>
      </x:c>
      <x:c r="H13" s="180" t="n">
        <x:v>1</x:v>
      </x:c>
      <x:c r="I13" s="180" t="str">
        <x:v>Launches, divestitures, discontinuations and portfolio changes</x:v>
      </x:c>
      <x:c r="J13" s="180" t="str">
        <x:v>Active</x:v>
      </x:c>
      <x:c r="K13" s="180"/>
      <x:c r="L13" s="186"/>
    </x:row>
    <x:row r="14">
      <x:c r="A14" s="185" t="str">
        <x:v>west-partners</x:v>
      </x:c>
      <x:c r="B14" s="180" t="str">
        <x:v>West partners and affiliates</x:v>
      </x:c>
      <x:c r="C14" s="180" t="str">
        <x:v>West Pharmaceutical Services, Inc.</x:v>
      </x:c>
      <x:c r="D14" s="180" t="str">
        <x:v>https://www.westpharma.com/partners</x:v>
      </x:c>
      <x:c r="E14" s="180" t="str">
        <x:v>html</x:v>
      </x:c>
      <x:c r="F14" s="180" t="str">
        <x:v>No</x:v>
      </x:c>
      <x:c r="G14" s="180" t="str">
        <x:v>quarterly</x:v>
      </x:c>
      <x:c r="H14" s="180" t="n">
        <x:v>1</x:v>
      </x:c>
      <x:c r="I14" s="180" t="str">
        <x:v>Daikyo and Mexico affiliate product coverage</x:v>
      </x:c>
      <x:c r="J14" s="180" t="str">
        <x:v>Active</x:v>
      </x:c>
      <x:c r="K14" s="180"/>
      <x:c r="L14" s="186"/>
    </x:row>
    <x:row r="15">
      <x:c r="A15" s="185" t="str">
        <x:v>west-products</x:v>
      </x:c>
      <x:c r="B15" s="180" t="str">
        <x:v>West public product hierarchy</x:v>
      </x:c>
      <x:c r="C15" s="180" t="str">
        <x:v>West Pharmaceutical Services, Inc.</x:v>
      </x:c>
      <x:c r="D15" s="180" t="str">
        <x:v>https://www.westpharma.com/products</x:v>
      </x:c>
      <x:c r="E15" s="180" t="str">
        <x:v>html_hierarchy</x:v>
      </x:c>
      <x:c r="F15" s="180" t="str">
        <x:v>No</x:v>
      </x:c>
      <x:c r="G15" s="180" t="str">
        <x:v>weekly</x:v>
      </x:c>
      <x:c r="H15" s="180" t="n">
        <x:v>1</x:v>
      </x:c>
      <x:c r="I15" s="180" t="str">
        <x:v>Current public product families and product-detail pages</x:v>
      </x:c>
      <x:c r="J15" s="180" t="str">
        <x:v>Active</x:v>
      </x:c>
      <x:c r="K15" s="180"/>
      <x:c r="L15" s="186"/>
    </x:row>
    <x:row r="16">
      <x:c r="A16" s="185" t="str">
        <x:v>west-sec-10k</x:v>
      </x:c>
      <x:c r="B16" s="180" t="str">
        <x:v>West 2025 Form 10-K</x:v>
      </x:c>
      <x:c r="C16" s="180" t="str">
        <x:v>West Pharmaceutical Services, Inc.</x:v>
      </x:c>
      <x:c r="D16" s="180" t="str">
        <x:v>https://www.sec.gov/Archives/edgar/data/105770/000010577026000010/wst-20251231.htm</x:v>
      </x:c>
      <x:c r="E16" s="180" t="str">
        <x:v>sec_filing</x:v>
      </x:c>
      <x:c r="F16" s="180" t="str">
        <x:v>No</x:v>
      </x:c>
      <x:c r="G16" s="180" t="str">
        <x:v>annual</x:v>
      </x:c>
      <x:c r="H16" s="180" t="n">
        <x:v>1</x:v>
      </x:c>
      <x:c r="I16" s="180" t="str">
        <x:v>Business lines, contract manufacturing scope, affiliates and current portfolio descriptions</x:v>
      </x:c>
      <x:c r="J16" s="180" t="str">
        <x:v>Active</x:v>
      </x:c>
      <x:c r="K16" s="180"/>
      <x:c r="L16" s="186"/>
    </x:row>
    <x:row r="17">
      <x:c r="A17" s="185" t="str">
        <x:v>west-sec-ex21</x:v>
      </x:c>
      <x:c r="B17" s="180" t="str">
        <x:v>West 2025 Exhibit 21 subsidiaries</x:v>
      </x:c>
      <x:c r="C17" s="180" t="str">
        <x:v>West Pharmaceutical Services, Inc.</x:v>
      </x:c>
      <x:c r="D17" s="180" t="str">
        <x:v>https://www.sec.gov/Archives/edgar/data/105770/000010577026000010/ex21listofsubsidiaries_2025.htm</x:v>
      </x:c>
      <x:c r="E17" s="180" t="str">
        <x:v>sec_filing</x:v>
      </x:c>
      <x:c r="F17" s="180" t="str">
        <x:v>No</x:v>
      </x:c>
      <x:c r="G17" s="180" t="str">
        <x:v>annual</x:v>
      </x:c>
      <x:c r="H17" s="180" t="n">
        <x:v>1</x:v>
      </x:c>
      <x:c r="I17" s="180" t="str">
        <x:v>Legal-entity universe</x:v>
      </x:c>
      <x:c r="J17" s="180" t="str">
        <x:v>Active</x:v>
      </x:c>
      <x:c r="K17" s="180"/>
      <x:c r="L17" s="186"/>
    </x:row>
    <x:row r="18">
      <x:c r="A18" s="185" t="str">
        <x:v>west-store</x:v>
      </x:c>
      <x:c r="B18" s="180" t="str">
        <x:v>West Online Store</x:v>
      </x:c>
      <x:c r="C18" s="180" t="str">
        <x:v>West Pharmaceutical Services, Inc.</x:v>
      </x:c>
      <x:c r="D18" s="180" t="str">
        <x:v>https://www.westpharma.com/online-store/all-products</x:v>
      </x:c>
      <x:c r="E18" s="180" t="str">
        <x:v>playwright_store</x:v>
      </x:c>
      <x:c r="F18" s="180" t="str">
        <x:v>No</x:v>
      </x:c>
      <x:c r="G18" s="180" t="str">
        <x:v>weekly</x:v>
      </x:c>
      <x:c r="H18" s="180" t="n">
        <x:v>1</x:v>
      </x:c>
      <x:c r="I18" s="180" t="str">
        <x:v>Public store SKUs, item numbers, pack quantities and availability</x:v>
      </x:c>
      <x:c r="J18" s="180" t="str">
        <x:v>Active</x:v>
      </x:c>
      <x:c r="K18" s="180"/>
      <x:c r="L18" s="186"/>
    </x:row>
    <x:row r="19">
      <x:c r="A19" s="185" t="str">
        <x:v>fda-gudid</x:v>
      </x:c>
      <x:c r="B19" s="180" t="str">
        <x:v>AccessGUDID</x:v>
      </x:c>
      <x:c r="C19" s="180" t="str">
        <x:v>U.S. Food and Drug Administration / NLM</x:v>
      </x:c>
      <x:c r="D19" s="180" t="str">
        <x:v>https://accessgudid.nlm.nih.gov/</x:v>
      </x:c>
      <x:c r="E19" s="180" t="str">
        <x:v>regulatory_database</x:v>
      </x:c>
      <x:c r="F19" s="180" t="str">
        <x:v>No</x:v>
      </x:c>
      <x:c r="G19" s="180" t="str">
        <x:v>monthly</x:v>
      </x:c>
      <x:c r="H19" s="180" t="n">
        <x:v>2</x:v>
      </x:c>
      <x:c r="I19" s="180" t="str">
        <x:v>Device identifiers, brand names, versions and package data</x:v>
      </x:c>
      <x:c r="J19" s="180" t="str">
        <x:v>Active</x:v>
      </x:c>
      <x:c r="K19" s="180"/>
      <x:c r="L19" s="186"/>
    </x:row>
    <x:row r="20">
      <x:c r="A20" s="185" t="str">
        <x:v>west-locations</x:v>
      </x:c>
      <x:c r="B20" s="180" t="str">
        <x:v>West global locations</x:v>
      </x:c>
      <x:c r="C20" s="180" t="str">
        <x:v>West Pharmaceutical Services, Inc.</x:v>
      </x:c>
      <x:c r="D20" s="180" t="str">
        <x:v>https://www.westpharma.com/global-locations</x:v>
      </x:c>
      <x:c r="E20" s="180" t="str">
        <x:v>html</x:v>
      </x:c>
      <x:c r="F20" s="180" t="str">
        <x:v>No</x:v>
      </x:c>
      <x:c r="G20" s="180" t="str">
        <x:v>quarterly</x:v>
      </x:c>
      <x:c r="H20" s="180" t="n">
        <x:v>2</x:v>
      </x:c>
      <x:c r="I20" s="180" t="str">
        <x:v>Facility-specific operations and products</x:v>
      </x:c>
      <x:c r="J20" s="180" t="str">
        <x:v>Active</x:v>
      </x:c>
      <x:c r="K20" s="180"/>
      <x:c r="L20" s="186"/>
    </x:row>
    <x:row r="21">
      <x:c r="A21" s="185" t="str">
        <x:v>google-patents</x:v>
      </x:c>
      <x:c r="B21" s="180" t="str">
        <x:v>Google Patents assignee discovery</x:v>
      </x:c>
      <x:c r="C21" s="180" t="str">
        <x:v>Google</x:v>
      </x:c>
      <x:c r="D21" s="180" t="str">
        <x:v>https://patents.google.com/</x:v>
      </x:c>
      <x:c r="E21" s="180" t="str">
        <x:v>search</x:v>
      </x:c>
      <x:c r="F21" s="180" t="str">
        <x:v>No</x:v>
      </x:c>
      <x:c r="G21" s="180" t="str">
        <x:v>quarterly</x:v>
      </x:c>
      <x:c r="H21" s="180" t="n">
        <x:v>3</x:v>
      </x:c>
      <x:c r="I21" s="180" t="str">
        <x:v>Potential product and legacy brand discovery; not sufficient alone for active-product status</x:v>
      </x:c>
      <x:c r="J21" s="180" t="str">
        <x:v>Active</x:v>
      </x:c>
      <x:c r="K21" s="180"/>
      <x:c r="L21" s="186"/>
    </x:row>
    <x:row r="22">
      <x:c r="A22" s="187" t="str">
        <x:v>wayback</x:v>
      </x:c>
      <x:c r="B22" s="188" t="str">
        <x:v>Internet Archive Wayback Machine</x:v>
      </x:c>
      <x:c r="C22" s="188" t="str">
        <x:v>Internet Archive</x:v>
      </x:c>
      <x:c r="D22" s="188" t="str">
        <x:v>https://web.archive.org/</x:v>
      </x:c>
      <x:c r="E22" s="188" t="str">
        <x:v>archive</x:v>
      </x:c>
      <x:c r="F22" s="188" t="str">
        <x:v>No</x:v>
      </x:c>
      <x:c r="G22" s="188" t="str">
        <x:v>quarterly</x:v>
      </x:c>
      <x:c r="H22" s="188" t="n">
        <x:v>3</x:v>
      </x:c>
      <x:c r="I22" s="188" t="str">
        <x:v>Legacy product pages and change-history reconstruction</x:v>
      </x:c>
      <x:c r="J22" s="188" t="str">
        <x:v>Active</x:v>
      </x:c>
      <x:c r="K22" s="188"/>
      <x:c r="L22" s="189"/>
    </x:row>
  </x:sheetData>
  <x:mergeCells>
    <x:mergeCell ref="A1:L1"/>
    <x:mergeCell ref="A2:L2"/>
  </x:mergeCells>
  <x:conditionalFormatting sqref="F5:F22">
    <x:cfRule type="expression" dxfId="4" priority="1">
      <x:formula>F5="Yes"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c8a66619b94483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3" hidden="0" customWidth="1"/>
    <x:col min="3" max="3" width="38" hidden="0" customWidth="1"/>
    <x:col min="4" max="4" width="14" hidden="0" customWidth="1"/>
    <x:col min="5" max="5" width="18" hidden="0" customWidth="1"/>
    <x:col min="6" max="6" width="24" hidden="0" customWidth="1"/>
    <x:col min="7" max="7" width="58" hidden="0" customWidth="1"/>
    <x:col min="8" max="8" width="10" hidden="0" customWidth="1"/>
    <x:col min="9" max="9" width="52" hidden="0" customWidth="1"/>
    <x:col min="10" max="10" width="43" hidden="0" customWidth="1"/>
  </x:cols>
  <x:sheetData>
    <x:row r="1" ht="30" customHeight="1">
      <x:c r="A1" s="222" t="str">
        <x:v>Entity, Subsidiary, Affiliate and Legacy Alias Map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8" customHeight="1">
      <x:c r="A2" s="13" t="str">
        <x:v>Current 2025 Exhibit 21 entities plus 49%-owned affiliates and legacy acquisition names used for external-source discovery.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>
      <x:c r="A4" s="121" t="str">
        <x:v>Entity ID</x:v>
      </x:c>
      <x:c r="B4" s="121" t="str">
        <x:v>Legal Name</x:v>
      </x:c>
      <x:c r="C4" s="121" t="str">
        <x:v>Relationship</x:v>
      </x:c>
      <x:c r="D4" s="121" t="str">
        <x:v>Ownership %</x:v>
      </x:c>
      <x:c r="E4" s="121" t="str">
        <x:v>Jurisdiction</x:v>
      </x:c>
      <x:c r="F4" s="121" t="str">
        <x:v>Domain</x:v>
      </x:c>
      <x:c r="G4" s="121" t="str">
        <x:v>Product Scope</x:v>
      </x:c>
      <x:c r="H4" s="121" t="str">
        <x:v>Active</x:v>
      </x:c>
      <x:c r="I4" s="121" t="str">
        <x:v>Source URL</x:v>
      </x:c>
      <x:c r="J4" s="121" t="str">
        <x:v>Notes</x:v>
      </x:c>
    </x:row>
    <x:row r="5">
      <x:c r="A5" s="182" t="str">
        <x:v>sub-03</x:v>
      </x:c>
      <x:c r="B5" s="183" t="str">
        <x:v>TGPR Holdings Limited</x:v>
      </x:c>
      <x:c r="C5" s="183" t="str">
        <x:v>100%-owned subsidiary</x:v>
      </x:c>
      <x:c r="D5" s="216" t="n">
        <x:v>100</x:v>
      </x:c>
      <x:c r="E5" s="183" t="str">
        <x:v>Ireland</x:v>
      </x:c>
      <x:c r="F5" s="183" t="str">
        <x:v>westpharma.com</x:v>
      </x:c>
      <x:c r="G5" s="183" t="str">
        <x:v>Legal entity in the West source universe; product scope may be manufacturing, holding, sales or services</x:v>
      </x:c>
      <x:c r="H5" s="183" t="str">
        <x:v>Yes</x:v>
      </x:c>
      <x:c r="I5" s="183" t="str">
        <x:v>https://www.sec.gov/Archives/edgar/data/105770/000010577026000010/ex21listofsubsidiaries_2025.htm</x:v>
      </x:c>
      <x:c r="J5" s="184" t="str">
        <x:v>2025 Form 10-K Exhibit 21</x:v>
      </x:c>
    </x:row>
    <x:row r="6">
      <x:c r="A6" s="185" t="str">
        <x:v>sub-01</x:v>
      </x:c>
      <x:c r="B6" s="180" t="str">
        <x:v>Tech Group Europe Limited</x:v>
      </x:c>
      <x:c r="C6" s="180" t="str">
        <x:v>100%-owned subsidiary</x:v>
      </x:c>
      <x:c r="D6" s="217" t="n">
        <x:v>100</x:v>
      </x:c>
      <x:c r="E6" s="180" t="str">
        <x:v>Ireland</x:v>
      </x:c>
      <x:c r="F6" s="180" t="str">
        <x:v>westpharma.com</x:v>
      </x:c>
      <x:c r="G6" s="180" t="str">
        <x:v>Legal entity in the West source universe; product scope may be manufacturing, holding, sales or services</x:v>
      </x:c>
      <x:c r="H6" s="180" t="str">
        <x:v>Yes</x:v>
      </x:c>
      <x:c r="I6" s="180" t="str">
        <x:v>https://www.sec.gov/Archives/edgar/data/105770/000010577026000010/ex21listofsubsidiaries_2025.htm</x:v>
      </x:c>
      <x:c r="J6" s="186" t="str">
        <x:v>2025 Form 10-K Exhibit 21</x:v>
      </x:c>
    </x:row>
    <x:row r="7">
      <x:c r="A7" s="185" t="str">
        <x:v>sub-02</x:v>
      </x:c>
      <x:c r="B7" s="180" t="str">
        <x:v>Tech Group Grand Rapids, Inc.</x:v>
      </x:c>
      <x:c r="C7" s="180" t="str">
        <x:v>100%-owned subsidiary</x:v>
      </x:c>
      <x:c r="D7" s="217" t="n">
        <x:v>100</x:v>
      </x:c>
      <x:c r="E7" s="180" t="str">
        <x:v>Delaware</x:v>
      </x:c>
      <x:c r="F7" s="180" t="str">
        <x:v>westpharma.com</x:v>
      </x:c>
      <x:c r="G7" s="180" t="str">
        <x:v>Legal entity in the West source universe; product scope may be manufacturing, holding, sales or services</x:v>
      </x:c>
      <x:c r="H7" s="180" t="str">
        <x:v>Yes</x:v>
      </x:c>
      <x:c r="I7" s="180" t="str">
        <x:v>https://www.sec.gov/Archives/edgar/data/105770/000010577026000010/ex21listofsubsidiaries_2025.htm</x:v>
      </x:c>
      <x:c r="J7" s="186" t="str">
        <x:v>2025 Form 10-K Exhibit 21</x:v>
      </x:c>
    </x:row>
    <x:row r="8">
      <x:c r="A8" s="185" t="str">
        <x:v>sub-05</x:v>
      </x:c>
      <x:c r="B8" s="180" t="str">
        <x:v>West Contract Manufacturing, LLC</x:v>
      </x:c>
      <x:c r="C8" s="180" t="str">
        <x:v>100%-owned subsidiary</x:v>
      </x:c>
      <x:c r="D8" s="217" t="n">
        <x:v>100</x:v>
      </x:c>
      <x:c r="E8" s="180" t="str">
        <x:v>Delaware</x:v>
      </x:c>
      <x:c r="F8" s="180" t="str">
        <x:v>westpharma.com</x:v>
      </x:c>
      <x:c r="G8" s="180" t="str">
        <x:v>Legal entity in the West source universe; product scope may be manufacturing, holding, sales or services</x:v>
      </x:c>
      <x:c r="H8" s="180" t="str">
        <x:v>Yes</x:v>
      </x:c>
      <x:c r="I8" s="180" t="str">
        <x:v>https://www.sec.gov/Archives/edgar/data/105770/000010577026000010/ex21listofsubsidiaries_2025.htm</x:v>
      </x:c>
      <x:c r="J8" s="186" t="str">
        <x:v>2025 Form 10-K Exhibit 21</x:v>
      </x:c>
    </x:row>
    <x:row r="9">
      <x:c r="A9" s="185" t="str">
        <x:v>sub-06</x:v>
      </x:c>
      <x:c r="B9" s="180" t="str">
        <x:v>West Pharma. Services IL, Ltd.</x:v>
      </x:c>
      <x:c r="C9" s="180" t="str">
        <x:v>100%-owned subsidiary</x:v>
      </x:c>
      <x:c r="D9" s="217" t="n">
        <x:v>100</x:v>
      </x:c>
      <x:c r="E9" s="180" t="str">
        <x:v>Israel</x:v>
      </x:c>
      <x:c r="F9" s="180" t="str">
        <x:v>westpharma.com</x:v>
      </x:c>
      <x:c r="G9" s="180" t="str">
        <x:v>Legal entity in the West source universe; product scope may be manufacturing, holding, sales or services</x:v>
      </x:c>
      <x:c r="H9" s="180" t="str">
        <x:v>Yes</x:v>
      </x:c>
      <x:c r="I9" s="180" t="str">
        <x:v>https://www.sec.gov/Archives/edgar/data/105770/000010577026000010/ex21listofsubsidiaries_2025.htm</x:v>
      </x:c>
      <x:c r="J9" s="186" t="str">
        <x:v>2025 Form 10-K Exhibit 21</x:v>
      </x:c>
    </x:row>
    <x:row r="10">
      <x:c r="A10" s="185" t="str">
        <x:v>sub-07</x:v>
      </x:c>
      <x:c r="B10" s="180" t="str">
        <x:v>West Pharmaceutical Packaging (China) Company Ltd.</x:v>
      </x:c>
      <x:c r="C10" s="180" t="str">
        <x:v>100%-owned subsidiary</x:v>
      </x:c>
      <x:c r="D10" s="217" t="n">
        <x:v>100</x:v>
      </x:c>
      <x:c r="E10" s="180" t="str">
        <x:v>China</x:v>
      </x:c>
      <x:c r="F10" s="180" t="str">
        <x:v>westpharma.com</x:v>
      </x:c>
      <x:c r="G10" s="180" t="str">
        <x:v>Legal entity in the West source universe; product scope may be manufacturing, holding, sales or services</x:v>
      </x:c>
      <x:c r="H10" s="180" t="str">
        <x:v>Yes</x:v>
      </x:c>
      <x:c r="I10" s="180" t="str">
        <x:v>https://www.sec.gov/Archives/edgar/data/105770/000010577026000010/ex21listofsubsidiaries_2025.htm</x:v>
      </x:c>
      <x:c r="J10" s="186" t="str">
        <x:v>2025 Form 10-K Exhibit 21</x:v>
      </x:c>
    </x:row>
    <x:row r="11">
      <x:c r="A11" s="185" t="str">
        <x:v>sub-08</x:v>
      </x:c>
      <x:c r="B11" s="180" t="str">
        <x:v>West Pharmaceutical Packaging India Private Limited</x:v>
      </x:c>
      <x:c r="C11" s="180" t="str">
        <x:v>100%-owned subsidiary</x:v>
      </x:c>
      <x:c r="D11" s="217" t="n">
        <x:v>100</x:v>
      </x:c>
      <x:c r="E11" s="180" t="str">
        <x:v>India</x:v>
      </x:c>
      <x:c r="F11" s="180" t="str">
        <x:v>westpharma.com</x:v>
      </x:c>
      <x:c r="G11" s="180" t="str">
        <x:v>Legal entity in the West source universe; product scope may be manufacturing, holding, sales or services</x:v>
      </x:c>
      <x:c r="H11" s="180" t="str">
        <x:v>Yes</x:v>
      </x:c>
      <x:c r="I11" s="180" t="str">
        <x:v>https://www.sec.gov/Archives/edgar/data/105770/000010577026000010/ex21listofsubsidiaries_2025.htm</x:v>
      </x:c>
      <x:c r="J11" s="186" t="str">
        <x:v>2025 Form 10-K Exhibit 21</x:v>
      </x:c>
    </x:row>
    <x:row r="12">
      <x:c r="A12" s="185" t="str">
        <x:v>sub-09</x:v>
      </x:c>
      <x:c r="B12" s="180" t="str">
        <x:v>West Pharmaceutical Products Ireland, Ltd.</x:v>
      </x:c>
      <x:c r="C12" s="180" t="str">
        <x:v>100%-owned subsidiary</x:v>
      </x:c>
      <x:c r="D12" s="217" t="n">
        <x:v>100</x:v>
      </x:c>
      <x:c r="E12" s="180" t="str">
        <x:v>Ireland</x:v>
      </x:c>
      <x:c r="F12" s="180" t="str">
        <x:v>westpharma.com</x:v>
      </x:c>
      <x:c r="G12" s="180" t="str">
        <x:v>Legal entity in the West source universe; product scope may be manufacturing, holding, sales or services</x:v>
      </x:c>
      <x:c r="H12" s="180" t="str">
        <x:v>Yes</x:v>
      </x:c>
      <x:c r="I12" s="180" t="str">
        <x:v>https://www.sec.gov/Archives/edgar/data/105770/000010577026000010/ex21listofsubsidiaries_2025.htm</x:v>
      </x:c>
      <x:c r="J12" s="186" t="str">
        <x:v>2025 Form 10-K Exhibit 21</x:v>
      </x:c>
    </x:row>
    <x:row r="13">
      <x:c r="A13" s="185" t="str">
        <x:v>sub-13</x:v>
      </x:c>
      <x:c r="B13" s="180" t="str">
        <x:v>West Pharmaceutical Services AZ, Inc.</x:v>
      </x:c>
      <x:c r="C13" s="180" t="str">
        <x:v>100%-owned subsidiary</x:v>
      </x:c>
      <x:c r="D13" s="217" t="n">
        <x:v>100</x:v>
      </x:c>
      <x:c r="E13" s="180" t="str">
        <x:v>Arizona</x:v>
      </x:c>
      <x:c r="F13" s="180" t="str">
        <x:v>westpharma.com</x:v>
      </x:c>
      <x:c r="G13" s="180" t="str">
        <x:v>Legal entity in the West source universe; product scope may be manufacturing, holding, sales or services</x:v>
      </x:c>
      <x:c r="H13" s="180" t="str">
        <x:v>Yes</x:v>
      </x:c>
      <x:c r="I13" s="180" t="str">
        <x:v>https://www.sec.gov/Archives/edgar/data/105770/000010577026000010/ex21listofsubsidiaries_2025.htm</x:v>
      </x:c>
      <x:c r="J13" s="186" t="str">
        <x:v>2025 Form 10-K Exhibit 21</x:v>
      </x:c>
    </x:row>
    <x:row r="14">
      <x:c r="A14" s="185" t="str">
        <x:v>sub-10</x:v>
      </x:c>
      <x:c r="B14" s="180" t="str">
        <x:v>West Pharmaceutical Services Argentina S.A.</x:v>
      </x:c>
      <x:c r="C14" s="180" t="str">
        <x:v>100%-owned subsidiary</x:v>
      </x:c>
      <x:c r="D14" s="217" t="n">
        <x:v>100</x:v>
      </x:c>
      <x:c r="E14" s="180" t="str">
        <x:v>Argentina</x:v>
      </x:c>
      <x:c r="F14" s="180" t="str">
        <x:v>westpharma.com</x:v>
      </x:c>
      <x:c r="G14" s="180" t="str">
        <x:v>Legal entity in the West source universe; product scope may be manufacturing, holding, sales or services</x:v>
      </x:c>
      <x:c r="H14" s="180" t="str">
        <x:v>Yes</x:v>
      </x:c>
      <x:c r="I14" s="180" t="str">
        <x:v>https://www.sec.gov/Archives/edgar/data/105770/000010577026000010/ex21listofsubsidiaries_2025.htm</x:v>
      </x:c>
      <x:c r="J14" s="186" t="str">
        <x:v>2025 Form 10-K Exhibit 21</x:v>
      </x:c>
    </x:row>
    <x:row r="15">
      <x:c r="A15" s="185" t="str">
        <x:v>sub-11</x:v>
      </x:c>
      <x:c r="B15" s="180" t="str">
        <x:v>West Pharmaceutical Services Asia, Ltd.</x:v>
      </x:c>
      <x:c r="C15" s="180" t="str">
        <x:v>100%-owned subsidiary</x:v>
      </x:c>
      <x:c r="D15" s="217" t="n">
        <x:v>100</x:v>
      </x:c>
      <x:c r="E15" s="180" t="str">
        <x:v>Taiwan</x:v>
      </x:c>
      <x:c r="F15" s="180" t="str">
        <x:v>westpharma.com</x:v>
      </x:c>
      <x:c r="G15" s="180" t="str">
        <x:v>Legal entity in the West source universe; product scope may be manufacturing, holding, sales or services</x:v>
      </x:c>
      <x:c r="H15" s="180" t="str">
        <x:v>Yes</x:v>
      </x:c>
      <x:c r="I15" s="180" t="str">
        <x:v>https://www.sec.gov/Archives/edgar/data/105770/000010577026000010/ex21listofsubsidiaries_2025.htm</x:v>
      </x:c>
      <x:c r="J15" s="186" t="str">
        <x:v>2025 Form 10-K Exhibit 21</x:v>
      </x:c>
    </x:row>
    <x:row r="16">
      <x:c r="A16" s="185" t="str">
        <x:v>sub-12</x:v>
      </x:c>
      <x:c r="B16" s="180" t="str">
        <x:v>West Pharmaceutical Services Australia Pty. Ltd.</x:v>
      </x:c>
      <x:c r="C16" s="180" t="str">
        <x:v>100%-owned subsidiary</x:v>
      </x:c>
      <x:c r="D16" s="217" t="n">
        <x:v>100</x:v>
      </x:c>
      <x:c r="E16" s="180" t="str">
        <x:v>Australia</x:v>
      </x:c>
      <x:c r="F16" s="180" t="str">
        <x:v>westpharma.com</x:v>
      </x:c>
      <x:c r="G16" s="180" t="str">
        <x:v>Legal entity in the West source universe; product scope may be manufacturing, holding, sales or services</x:v>
      </x:c>
      <x:c r="H16" s="180" t="str">
        <x:v>Yes</x:v>
      </x:c>
      <x:c r="I16" s="180" t="str">
        <x:v>https://www.sec.gov/Archives/edgar/data/105770/000010577026000010/ex21listofsubsidiaries_2025.htm</x:v>
      </x:c>
      <x:c r="J16" s="186" t="str">
        <x:v>2025 Form 10-K Exhibit 21</x:v>
      </x:c>
    </x:row>
    <x:row r="17">
      <x:c r="A17" s="185" t="str">
        <x:v>sub-14</x:v>
      </x:c>
      <x:c r="B17" s="180" t="str">
        <x:v>West Pharmaceutical Services Beograd d.o.o.</x:v>
      </x:c>
      <x:c r="C17" s="180" t="str">
        <x:v>100%-owned subsidiary</x:v>
      </x:c>
      <x:c r="D17" s="217" t="n">
        <x:v>100</x:v>
      </x:c>
      <x:c r="E17" s="180" t="str">
        <x:v>Serbia</x:v>
      </x:c>
      <x:c r="F17" s="180" t="str">
        <x:v>westpharma.com</x:v>
      </x:c>
      <x:c r="G17" s="180" t="str">
        <x:v>Legal entity in the West source universe; product scope may be manufacturing, holding, sales or services</x:v>
      </x:c>
      <x:c r="H17" s="180" t="str">
        <x:v>Yes</x:v>
      </x:c>
      <x:c r="I17" s="180" t="str">
        <x:v>https://www.sec.gov/Archives/edgar/data/105770/000010577026000010/ex21listofsubsidiaries_2025.htm</x:v>
      </x:c>
      <x:c r="J17" s="186" t="str">
        <x:v>2025 Form 10-K Exhibit 21</x:v>
      </x:c>
    </x:row>
    <x:row r="18">
      <x:c r="A18" s="185" t="str">
        <x:v>sub-15</x:v>
      </x:c>
      <x:c r="B18" s="180" t="str">
        <x:v>West Pharmaceutical Services Brasil Ltda.</x:v>
      </x:c>
      <x:c r="C18" s="180" t="str">
        <x:v>100%-owned subsidiary</x:v>
      </x:c>
      <x:c r="D18" s="217" t="n">
        <x:v>100</x:v>
      </x:c>
      <x:c r="E18" s="180" t="str">
        <x:v>Brazil</x:v>
      </x:c>
      <x:c r="F18" s="180" t="str">
        <x:v>westpharma.com</x:v>
      </x:c>
      <x:c r="G18" s="180" t="str">
        <x:v>Legal entity in the West source universe; product scope may be manufacturing, holding, sales or services</x:v>
      </x:c>
      <x:c r="H18" s="180" t="str">
        <x:v>Yes</x:v>
      </x:c>
      <x:c r="I18" s="180" t="str">
        <x:v>https://www.sec.gov/Archives/edgar/data/105770/000010577026000010/ex21listofsubsidiaries_2025.htm</x:v>
      </x:c>
      <x:c r="J18" s="186" t="str">
        <x:v>2025 Form 10-K Exhibit 21</x:v>
      </x:c>
    </x:row>
    <x:row r="19">
      <x:c r="A19" s="185" t="str">
        <x:v>sub-16</x:v>
      </x:c>
      <x:c r="B19" s="180" t="str">
        <x:v>West Pharmaceutical Services Colombia S.A.S.</x:v>
      </x:c>
      <x:c r="C19" s="180" t="str">
        <x:v>100%-owned subsidiary</x:v>
      </x:c>
      <x:c r="D19" s="217" t="n">
        <x:v>100</x:v>
      </x:c>
      <x:c r="E19" s="180" t="str">
        <x:v>Colombia</x:v>
      </x:c>
      <x:c r="F19" s="180" t="str">
        <x:v>westpharma.com</x:v>
      </x:c>
      <x:c r="G19" s="180" t="str">
        <x:v>Legal entity in the West source universe; product scope may be manufacturing, holding, sales or services</x:v>
      </x:c>
      <x:c r="H19" s="180" t="str">
        <x:v>Yes</x:v>
      </x:c>
      <x:c r="I19" s="180" t="str">
        <x:v>https://www.sec.gov/Archives/edgar/data/105770/000010577026000010/ex21listofsubsidiaries_2025.htm</x:v>
      </x:c>
      <x:c r="J19" s="186" t="str">
        <x:v>2025 Form 10-K Exhibit 21</x:v>
      </x:c>
    </x:row>
    <x:row r="20">
      <x:c r="A20" s="185" t="str">
        <x:v>sub-17</x:v>
      </x:c>
      <x:c r="B20" s="180" t="str">
        <x:v>West Pharmaceutical Services Cornwall Limited</x:v>
      </x:c>
      <x:c r="C20" s="180" t="str">
        <x:v>100%-owned subsidiary</x:v>
      </x:c>
      <x:c r="D20" s="217" t="n">
        <x:v>100</x:v>
      </x:c>
      <x:c r="E20" s="180" t="str">
        <x:v>England</x:v>
      </x:c>
      <x:c r="F20" s="180" t="str">
        <x:v>westpharma.com</x:v>
      </x:c>
      <x:c r="G20" s="180" t="str">
        <x:v>Legal entity in the West source universe; product scope may be manufacturing, holding, sales or services</x:v>
      </x:c>
      <x:c r="H20" s="180" t="str">
        <x:v>Yes</x:v>
      </x:c>
      <x:c r="I20" s="180" t="str">
        <x:v>https://www.sec.gov/Archives/edgar/data/105770/000010577026000010/ex21listofsubsidiaries_2025.htm</x:v>
      </x:c>
      <x:c r="J20" s="186" t="str">
        <x:v>2025 Form 10-K Exhibit 21</x:v>
      </x:c>
    </x:row>
    <x:row r="21">
      <x:c r="A21" s="185" t="str">
        <x:v>sub-18</x:v>
      </x:c>
      <x:c r="B21" s="180" t="str">
        <x:v>West Pharmaceutical Services Danmark ApS</x:v>
      </x:c>
      <x:c r="C21" s="180" t="str">
        <x:v>100%-owned subsidiary</x:v>
      </x:c>
      <x:c r="D21" s="217" t="n">
        <x:v>100</x:v>
      </x:c>
      <x:c r="E21" s="180" t="str">
        <x:v>Denmark</x:v>
      </x:c>
      <x:c r="F21" s="180" t="str">
        <x:v>westpharma.com</x:v>
      </x:c>
      <x:c r="G21" s="180" t="str">
        <x:v>Legal entity in the West source universe; product scope may be manufacturing, holding, sales or services</x:v>
      </x:c>
      <x:c r="H21" s="180" t="str">
        <x:v>Yes</x:v>
      </x:c>
      <x:c r="I21" s="180" t="str">
        <x:v>https://www.sec.gov/Archives/edgar/data/105770/000010577026000010/ex21listofsubsidiaries_2025.htm</x:v>
      </x:c>
      <x:c r="J21" s="186" t="str">
        <x:v>2025 Form 10-K Exhibit 21</x:v>
      </x:c>
    </x:row>
    <x:row r="22">
      <x:c r="A22" s="185" t="str">
        <x:v>sub-19</x:v>
      </x:c>
      <x:c r="B22" s="180" t="str">
        <x:v>West Pharmaceutical Services Delaware Acquisition, Inc.</x:v>
      </x:c>
      <x:c r="C22" s="180" t="str">
        <x:v>100%-owned subsidiary</x:v>
      </x:c>
      <x:c r="D22" s="217" t="n">
        <x:v>100</x:v>
      </x:c>
      <x:c r="E22" s="180" t="str">
        <x:v>Delaware</x:v>
      </x:c>
      <x:c r="F22" s="180" t="str">
        <x:v>westpharma.com</x:v>
      </x:c>
      <x:c r="G22" s="180" t="str">
        <x:v>Legal entity in the West source universe; product scope may be manufacturing, holding, sales or services</x:v>
      </x:c>
      <x:c r="H22" s="180" t="str">
        <x:v>Yes</x:v>
      </x:c>
      <x:c r="I22" s="180" t="str">
        <x:v>https://www.sec.gov/Archives/edgar/data/105770/000010577026000010/ex21listofsubsidiaries_2025.htm</x:v>
      </x:c>
      <x:c r="J22" s="186" t="str">
        <x:v>2025 Form 10-K Exhibit 21</x:v>
      </x:c>
    </x:row>
    <x:row r="23">
      <x:c r="A23" s="185" t="str">
        <x:v>sub-20</x:v>
      </x:c>
      <x:c r="B23" s="180" t="str">
        <x:v>West Pharmaceutical Services Deutschland GmbH &amp; Co. KG</x:v>
      </x:c>
      <x:c r="C23" s="180" t="str">
        <x:v>100%-owned subsidiary</x:v>
      </x:c>
      <x:c r="D23" s="217" t="n">
        <x:v>100</x:v>
      </x:c>
      <x:c r="E23" s="180" t="str">
        <x:v>Germany</x:v>
      </x:c>
      <x:c r="F23" s="180" t="str">
        <x:v>westpharma.com</x:v>
      </x:c>
      <x:c r="G23" s="180" t="str">
        <x:v>Legal entity in the West source universe; product scope may be manufacturing, holding, sales or services</x:v>
      </x:c>
      <x:c r="H23" s="180" t="str">
        <x:v>Yes</x:v>
      </x:c>
      <x:c r="I23" s="180" t="str">
        <x:v>https://www.sec.gov/Archives/edgar/data/105770/000010577026000010/ex21listofsubsidiaries_2025.htm</x:v>
      </x:c>
      <x:c r="J23" s="186" t="str">
        <x:v>2025 Form 10-K Exhibit 21</x:v>
      </x:c>
    </x:row>
    <x:row r="24">
      <x:c r="A24" s="185" t="str">
        <x:v>sub-21</x:v>
      </x:c>
      <x:c r="B24" s="180" t="str">
        <x:v>West Pharmaceutical Services European Holdings 1 GmbH</x:v>
      </x:c>
      <x:c r="C24" s="180" t="str">
        <x:v>100%-owned subsidiary</x:v>
      </x:c>
      <x:c r="D24" s="217" t="n">
        <x:v>100</x:v>
      </x:c>
      <x:c r="E24" s="180" t="str">
        <x:v>Germany</x:v>
      </x:c>
      <x:c r="F24" s="180" t="str">
        <x:v>westpharma.com</x:v>
      </x:c>
      <x:c r="G24" s="180" t="str">
        <x:v>Legal entity in the West source universe; product scope may be manufacturing, holding, sales or services</x:v>
      </x:c>
      <x:c r="H24" s="180" t="str">
        <x:v>Yes</x:v>
      </x:c>
      <x:c r="I24" s="180" t="str">
        <x:v>https://www.sec.gov/Archives/edgar/data/105770/000010577026000010/ex21listofsubsidiaries_2025.htm</x:v>
      </x:c>
      <x:c r="J24" s="186" t="str">
        <x:v>2025 Form 10-K Exhibit 21</x:v>
      </x:c>
    </x:row>
    <x:row r="25">
      <x:c r="A25" s="185" t="str">
        <x:v>sub-22</x:v>
      </x:c>
      <x:c r="B25" s="180" t="str">
        <x:v>West Pharmaceutical Services European Holdings II GmbH</x:v>
      </x:c>
      <x:c r="C25" s="180" t="str">
        <x:v>100%-owned subsidiary</x:v>
      </x:c>
      <x:c r="D25" s="217" t="n">
        <x:v>100</x:v>
      </x:c>
      <x:c r="E25" s="180" t="str">
        <x:v>Germany</x:v>
      </x:c>
      <x:c r="F25" s="180" t="str">
        <x:v>westpharma.com</x:v>
      </x:c>
      <x:c r="G25" s="180" t="str">
        <x:v>Legal entity in the West source universe; product scope may be manufacturing, holding, sales or services</x:v>
      </x:c>
      <x:c r="H25" s="180" t="str">
        <x:v>Yes</x:v>
      </x:c>
      <x:c r="I25" s="180" t="str">
        <x:v>https://www.sec.gov/Archives/edgar/data/105770/000010577026000010/ex21listofsubsidiaries_2025.htm</x:v>
      </x:c>
      <x:c r="J25" s="186" t="str">
        <x:v>2025 Form 10-K Exhibit 21</x:v>
      </x:c>
    </x:row>
    <x:row r="26">
      <x:c r="A26" s="185" t="str">
        <x:v>sub-23</x:v>
      </x:c>
      <x:c r="B26" s="180" t="str">
        <x:v>West Pharmaceutical Services France S.A.</x:v>
      </x:c>
      <x:c r="C26" s="180" t="str">
        <x:v>100%-owned subsidiary</x:v>
      </x:c>
      <x:c r="D26" s="217" t="n">
        <x:v>100</x:v>
      </x:c>
      <x:c r="E26" s="180" t="str">
        <x:v>France</x:v>
      </x:c>
      <x:c r="F26" s="180" t="str">
        <x:v>westpharma.com</x:v>
      </x:c>
      <x:c r="G26" s="180" t="str">
        <x:v>Legal entity in the West source universe; product scope may be manufacturing, holding, sales or services</x:v>
      </x:c>
      <x:c r="H26" s="180" t="str">
        <x:v>Yes</x:v>
      </x:c>
      <x:c r="I26" s="180" t="str">
        <x:v>https://www.sec.gov/Archives/edgar/data/105770/000010577026000010/ex21listofsubsidiaries_2025.htm</x:v>
      </x:c>
      <x:c r="J26" s="186" t="str">
        <x:v>2025 Form 10-K Exhibit 21</x:v>
      </x:c>
    </x:row>
    <x:row r="27">
      <x:c r="A27" s="185" t="str">
        <x:v>sub-24</x:v>
      </x:c>
      <x:c r="B27" s="180" t="str">
        <x:v>West Pharmaceutical Services Group Limited</x:v>
      </x:c>
      <x:c r="C27" s="180" t="str">
        <x:v>100%-owned subsidiary</x:v>
      </x:c>
      <x:c r="D27" s="217" t="n">
        <x:v>100</x:v>
      </x:c>
      <x:c r="E27" s="180" t="str">
        <x:v>England</x:v>
      </x:c>
      <x:c r="F27" s="180" t="str">
        <x:v>westpharma.com</x:v>
      </x:c>
      <x:c r="G27" s="180" t="str">
        <x:v>Legal entity in the West source universe; product scope may be manufacturing, holding, sales or services</x:v>
      </x:c>
      <x:c r="H27" s="180" t="str">
        <x:v>Yes</x:v>
      </x:c>
      <x:c r="I27" s="180" t="str">
        <x:v>https://www.sec.gov/Archives/edgar/data/105770/000010577026000010/ex21listofsubsidiaries_2025.htm</x:v>
      </x:c>
      <x:c r="J27" s="186" t="str">
        <x:v>2025 Form 10-K Exhibit 21</x:v>
      </x:c>
    </x:row>
    <x:row r="28">
      <x:c r="A28" s="185" t="str">
        <x:v>sub-25</x:v>
      </x:c>
      <x:c r="B28" s="180" t="str">
        <x:v>West Pharmaceutical Services Hispania S.A.</x:v>
      </x:c>
      <x:c r="C28" s="180" t="str">
        <x:v>100%-owned subsidiary</x:v>
      </x:c>
      <x:c r="D28" s="217" t="n">
        <x:v>100</x:v>
      </x:c>
      <x:c r="E28" s="180" t="str">
        <x:v>Spain</x:v>
      </x:c>
      <x:c r="F28" s="180" t="str">
        <x:v>westpharma.com</x:v>
      </x:c>
      <x:c r="G28" s="180" t="str">
        <x:v>Legal entity in the West source universe; product scope may be manufacturing, holding, sales or services</x:v>
      </x:c>
      <x:c r="H28" s="180" t="str">
        <x:v>Yes</x:v>
      </x:c>
      <x:c r="I28" s="180" t="str">
        <x:v>https://www.sec.gov/Archives/edgar/data/105770/000010577026000010/ex21listofsubsidiaries_2025.htm</x:v>
      </x:c>
      <x:c r="J28" s="186" t="str">
        <x:v>2025 Form 10-K Exhibit 21</x:v>
      </x:c>
    </x:row>
    <x:row r="29">
      <x:c r="A29" s="185" t="str">
        <x:v>sub-27</x:v>
      </x:c>
      <x:c r="B29" s="180" t="str">
        <x:v>West Pharmaceutical Services Holding GmbH</x:v>
      </x:c>
      <x:c r="C29" s="180" t="str">
        <x:v>100%-owned subsidiary</x:v>
      </x:c>
      <x:c r="D29" s="217" t="n">
        <x:v>100</x:v>
      </x:c>
      <x:c r="E29" s="180" t="str">
        <x:v>Germany</x:v>
      </x:c>
      <x:c r="F29" s="180" t="str">
        <x:v>westpharma.com</x:v>
      </x:c>
      <x:c r="G29" s="180" t="str">
        <x:v>Legal entity in the West source universe; product scope may be manufacturing, holding, sales or services</x:v>
      </x:c>
      <x:c r="H29" s="180" t="str">
        <x:v>Yes</x:v>
      </x:c>
      <x:c r="I29" s="180" t="str">
        <x:v>https://www.sec.gov/Archives/edgar/data/105770/000010577026000010/ex21listofsubsidiaries_2025.htm</x:v>
      </x:c>
      <x:c r="J29" s="186" t="str">
        <x:v>2025 Form 10-K Exhibit 21</x:v>
      </x:c>
    </x:row>
    <x:row r="30">
      <x:c r="A30" s="185" t="str">
        <x:v>sub-26</x:v>
      </x:c>
      <x:c r="B30" s="180" t="str">
        <x:v>West Pharmaceutical Services Holding II GmbH</x:v>
      </x:c>
      <x:c r="C30" s="180" t="str">
        <x:v>100%-owned subsidiary</x:v>
      </x:c>
      <x:c r="D30" s="217" t="n">
        <x:v>100</x:v>
      </x:c>
      <x:c r="E30" s="180" t="str">
        <x:v>Germany</x:v>
      </x:c>
      <x:c r="F30" s="180" t="str">
        <x:v>westpharma.com</x:v>
      </x:c>
      <x:c r="G30" s="180" t="str">
        <x:v>Legal entity in the West source universe; product scope may be manufacturing, holding, sales or services</x:v>
      </x:c>
      <x:c r="H30" s="180" t="str">
        <x:v>Yes</x:v>
      </x:c>
      <x:c r="I30" s="180" t="str">
        <x:v>https://www.sec.gov/Archives/edgar/data/105770/000010577026000010/ex21listofsubsidiaries_2025.htm</x:v>
      </x:c>
      <x:c r="J30" s="186" t="str">
        <x:v>2025 Form 10-K Exhibit 21</x:v>
      </x:c>
    </x:row>
    <x:row r="31">
      <x:c r="A31" s="185" t="str">
        <x:v>sub-28</x:v>
      </x:c>
      <x:c r="B31" s="180" t="str">
        <x:v>West Pharmaceutical Services Holding Ireland North, Ltd.</x:v>
      </x:c>
      <x:c r="C31" s="180" t="str">
        <x:v>100%-owned subsidiary</x:v>
      </x:c>
      <x:c r="D31" s="217" t="n">
        <x:v>100</x:v>
      </x:c>
      <x:c r="E31" s="180" t="str">
        <x:v>Ireland</x:v>
      </x:c>
      <x:c r="F31" s="180" t="str">
        <x:v>westpharma.com</x:v>
      </x:c>
      <x:c r="G31" s="180" t="str">
        <x:v>Legal entity in the West source universe; product scope may be manufacturing, holding, sales or services</x:v>
      </x:c>
      <x:c r="H31" s="180" t="str">
        <x:v>Yes</x:v>
      </x:c>
      <x:c r="I31" s="180" t="str">
        <x:v>https://www.sec.gov/Archives/edgar/data/105770/000010577026000010/ex21listofsubsidiaries_2025.htm</x:v>
      </x:c>
      <x:c r="J31" s="186" t="str">
        <x:v>2025 Form 10-K Exhibit 21</x:v>
      </x:c>
    </x:row>
    <x:row r="32">
      <x:c r="A32" s="185" t="str">
        <x:v>sub-29</x:v>
      </x:c>
      <x:c r="B32" s="180" t="str">
        <x:v>West Pharmaceutical Services Holding Ireland South, Ltd.</x:v>
      </x:c>
      <x:c r="C32" s="180" t="str">
        <x:v>100%-owned subsidiary</x:v>
      </x:c>
      <x:c r="D32" s="217" t="n">
        <x:v>100</x:v>
      </x:c>
      <x:c r="E32" s="180" t="str">
        <x:v>Ireland</x:v>
      </x:c>
      <x:c r="F32" s="180" t="str">
        <x:v>westpharma.com</x:v>
      </x:c>
      <x:c r="G32" s="180" t="str">
        <x:v>Legal entity in the West source universe; product scope may be manufacturing, holding, sales or services</x:v>
      </x:c>
      <x:c r="H32" s="180" t="str">
        <x:v>Yes</x:v>
      </x:c>
      <x:c r="I32" s="180" t="str">
        <x:v>https://www.sec.gov/Archives/edgar/data/105770/000010577026000010/ex21listofsubsidiaries_2025.htm</x:v>
      </x:c>
      <x:c r="J32" s="186" t="str">
        <x:v>2025 Form 10-K Exhibit 21</x:v>
      </x:c>
    </x:row>
    <x:row r="33">
      <x:c r="A33" s="185" t="str">
        <x:v>sub-30</x:v>
      </x:c>
      <x:c r="B33" s="180" t="str">
        <x:v>West Pharmaceutical Services Holding Japan, GK</x:v>
      </x:c>
      <x:c r="C33" s="180" t="str">
        <x:v>100%-owned subsidiary</x:v>
      </x:c>
      <x:c r="D33" s="217" t="n">
        <x:v>100</x:v>
      </x:c>
      <x:c r="E33" s="180" t="str">
        <x:v>Japan</x:v>
      </x:c>
      <x:c r="F33" s="180" t="str">
        <x:v>westpharma.com</x:v>
      </x:c>
      <x:c r="G33" s="180" t="str">
        <x:v>Legal entity in the West source universe; product scope may be manufacturing, holding, sales or services</x:v>
      </x:c>
      <x:c r="H33" s="180" t="str">
        <x:v>Yes</x:v>
      </x:c>
      <x:c r="I33" s="180" t="str">
        <x:v>https://www.sec.gov/Archives/edgar/data/105770/000010577026000010/ex21listofsubsidiaries_2025.htm</x:v>
      </x:c>
      <x:c r="J33" s="186" t="str">
        <x:v>2025 Form 10-K Exhibit 21</x:v>
      </x:c>
    </x:row>
    <x:row r="34">
      <x:c r="A34" s="185" t="str">
        <x:v>sub-31</x:v>
      </x:c>
      <x:c r="B34" s="180" t="str">
        <x:v>West Pharmaceutical Services Holdings Ltd.</x:v>
      </x:c>
      <x:c r="C34" s="180" t="str">
        <x:v>100%-owned subsidiary</x:v>
      </x:c>
      <x:c r="D34" s="217" t="n">
        <x:v>100</x:v>
      </x:c>
      <x:c r="E34" s="180" t="str">
        <x:v>Israel</x:v>
      </x:c>
      <x:c r="F34" s="180" t="str">
        <x:v>westpharma.com</x:v>
      </x:c>
      <x:c r="G34" s="180" t="str">
        <x:v>Legal entity in the West source universe; product scope may be manufacturing, holding, sales or services</x:v>
      </x:c>
      <x:c r="H34" s="180" t="str">
        <x:v>Yes</x:v>
      </x:c>
      <x:c r="I34" s="180" t="str">
        <x:v>https://www.sec.gov/Archives/edgar/data/105770/000010577026000010/ex21listofsubsidiaries_2025.htm</x:v>
      </x:c>
      <x:c r="J34" s="186" t="str">
        <x:v>2025 Form 10-K Exhibit 21</x:v>
      </x:c>
    </x:row>
    <x:row r="35">
      <x:c r="A35" s="185" t="str">
        <x:v>sub-32</x:v>
      </x:c>
      <x:c r="B35" s="180" t="str">
        <x:v>West Pharmaceutical Services Italia S.r.L.</x:v>
      </x:c>
      <x:c r="C35" s="180" t="str">
        <x:v>100%-owned subsidiary</x:v>
      </x:c>
      <x:c r="D35" s="217" t="n">
        <x:v>100</x:v>
      </x:c>
      <x:c r="E35" s="180" t="str">
        <x:v>Italy</x:v>
      </x:c>
      <x:c r="F35" s="180" t="str">
        <x:v>westpharma.com</x:v>
      </x:c>
      <x:c r="G35" s="180" t="str">
        <x:v>Legal entity in the West source universe; product scope may be manufacturing, holding, sales or services</x:v>
      </x:c>
      <x:c r="H35" s="180" t="str">
        <x:v>Yes</x:v>
      </x:c>
      <x:c r="I35" s="180" t="str">
        <x:v>https://www.sec.gov/Archives/edgar/data/105770/000010577026000010/ex21listofsubsidiaries_2025.htm</x:v>
      </x:c>
      <x:c r="J35" s="186" t="str">
        <x:v>2025 Form 10-K Exhibit 21</x:v>
      </x:c>
    </x:row>
    <x:row r="36">
      <x:c r="A36" s="185" t="str">
        <x:v>sub-33</x:v>
      </x:c>
      <x:c r="B36" s="180" t="str">
        <x:v>West Pharmaceutical Services Korea, Ltd.</x:v>
      </x:c>
      <x:c r="C36" s="180" t="str">
        <x:v>100%-owned subsidiary</x:v>
      </x:c>
      <x:c r="D36" s="217" t="n">
        <x:v>100</x:v>
      </x:c>
      <x:c r="E36" s="180" t="str">
        <x:v>South Korea</x:v>
      </x:c>
      <x:c r="F36" s="180" t="str">
        <x:v>westpharma.com</x:v>
      </x:c>
      <x:c r="G36" s="180" t="str">
        <x:v>Legal entity in the West source universe; product scope may be manufacturing, holding, sales or services</x:v>
      </x:c>
      <x:c r="H36" s="180" t="str">
        <x:v>Yes</x:v>
      </x:c>
      <x:c r="I36" s="180" t="str">
        <x:v>https://www.sec.gov/Archives/edgar/data/105770/000010577026000010/ex21listofsubsidiaries_2025.htm</x:v>
      </x:c>
      <x:c r="J36" s="186" t="str">
        <x:v>2025 Form 10-K Exhibit 21</x:v>
      </x:c>
    </x:row>
    <x:row r="37">
      <x:c r="A37" s="185" t="str">
        <x:v>sub-34</x:v>
      </x:c>
      <x:c r="B37" s="180" t="str">
        <x:v>West Pharmaceutical Services Lakewood, Inc.</x:v>
      </x:c>
      <x:c r="C37" s="180" t="str">
        <x:v>100%-owned subsidiary</x:v>
      </x:c>
      <x:c r="D37" s="217" t="n">
        <x:v>100</x:v>
      </x:c>
      <x:c r="E37" s="180" t="str">
        <x:v>Delaware</x:v>
      </x:c>
      <x:c r="F37" s="180" t="str">
        <x:v>westpharma.com</x:v>
      </x:c>
      <x:c r="G37" s="180" t="str">
        <x:v>Legal entity in the West source universe; product scope may be manufacturing, holding, sales or services</x:v>
      </x:c>
      <x:c r="H37" s="180" t="str">
        <x:v>Yes</x:v>
      </x:c>
      <x:c r="I37" s="180" t="str">
        <x:v>https://www.sec.gov/Archives/edgar/data/105770/000010577026000010/ex21listofsubsidiaries_2025.htm</x:v>
      </x:c>
      <x:c r="J37" s="186" t="str">
        <x:v>2025 Form 10-K Exhibit 21</x:v>
      </x:c>
    </x:row>
    <x:row r="38">
      <x:c r="A38" s="185" t="str">
        <x:v>sub-37</x:v>
      </x:c>
      <x:c r="B38" s="180" t="str">
        <x:v>West Pharmaceutical Services Shanghai Medical Rubber Products Co., Ltd.</x:v>
      </x:c>
      <x:c r="C38" s="180" t="str">
        <x:v>100%-owned subsidiary</x:v>
      </x:c>
      <x:c r="D38" s="217" t="n">
        <x:v>100</x:v>
      </x:c>
      <x:c r="E38" s="180" t="str">
        <x:v>China</x:v>
      </x:c>
      <x:c r="F38" s="180" t="str">
        <x:v>westpharma.com</x:v>
      </x:c>
      <x:c r="G38" s="180" t="str">
        <x:v>Legal entity in the West source universe; product scope may be manufacturing, holding, sales or services</x:v>
      </x:c>
      <x:c r="H38" s="180" t="str">
        <x:v>Yes</x:v>
      </x:c>
      <x:c r="I38" s="180" t="str">
        <x:v>https://www.sec.gov/Archives/edgar/data/105770/000010577026000010/ex21listofsubsidiaries_2025.htm</x:v>
      </x:c>
      <x:c r="J38" s="186" t="str">
        <x:v>2025 Form 10-K Exhibit 21</x:v>
      </x:c>
    </x:row>
    <x:row r="39">
      <x:c r="A39" s="185" t="str">
        <x:v>sub-38</x:v>
      </x:c>
      <x:c r="B39" s="180" t="str">
        <x:v>West Pharmaceutical Services Singapore Pte. Ltd.</x:v>
      </x:c>
      <x:c r="C39" s="180" t="str">
        <x:v>100%-owned subsidiary</x:v>
      </x:c>
      <x:c r="D39" s="217" t="n">
        <x:v>100</x:v>
      </x:c>
      <x:c r="E39" s="180" t="str">
        <x:v>Singapore</x:v>
      </x:c>
      <x:c r="F39" s="180" t="str">
        <x:v>westpharma.com</x:v>
      </x:c>
      <x:c r="G39" s="180" t="str">
        <x:v>Legal entity in the West source universe; product scope may be manufacturing, holding, sales or services</x:v>
      </x:c>
      <x:c r="H39" s="180" t="str">
        <x:v>Yes</x:v>
      </x:c>
      <x:c r="I39" s="180" t="str">
        <x:v>https://www.sec.gov/Archives/edgar/data/105770/000010577026000010/ex21listofsubsidiaries_2025.htm</x:v>
      </x:c>
      <x:c r="J39" s="186" t="str">
        <x:v>2025 Form 10-K Exhibit 21</x:v>
      </x:c>
    </x:row>
    <x:row r="40">
      <x:c r="A40" s="185" t="str">
        <x:v>sub-39</x:v>
      </x:c>
      <x:c r="B40" s="180" t="str">
        <x:v>West Pharmaceutical Services Switzerland GmbH In Liquidation</x:v>
      </x:c>
      <x:c r="C40" s="180" t="str">
        <x:v>100%-owned subsidiary</x:v>
      </x:c>
      <x:c r="D40" s="217" t="n">
        <x:v>100</x:v>
      </x:c>
      <x:c r="E40" s="180" t="str">
        <x:v>Switzerland</x:v>
      </x:c>
      <x:c r="F40" s="180" t="str">
        <x:v>westpharma.com</x:v>
      </x:c>
      <x:c r="G40" s="180" t="str">
        <x:v>Legal entity in the West source universe; product scope may be manufacturing, holding, sales or services</x:v>
      </x:c>
      <x:c r="H40" s="180" t="str">
        <x:v>No</x:v>
      </x:c>
      <x:c r="I40" s="180" t="str">
        <x:v>https://www.sec.gov/Archives/edgar/data/105770/000010577026000010/ex21listofsubsidiaries_2025.htm</x:v>
      </x:c>
      <x:c r="J40" s="186" t="str">
        <x:v>2025 Form 10-K Exhibit 21</x:v>
      </x:c>
    </x:row>
    <x:row r="41">
      <x:c r="A41" s="185" t="str">
        <x:v>sub-40</x:v>
      </x:c>
      <x:c r="B41" s="180" t="str">
        <x:v>West Pharmaceutical Services Verwaltungs GmbH</x:v>
      </x:c>
      <x:c r="C41" s="180" t="str">
        <x:v>100%-owned subsidiary</x:v>
      </x:c>
      <x:c r="D41" s="217" t="n">
        <x:v>100</x:v>
      </x:c>
      <x:c r="E41" s="180" t="str">
        <x:v>Germany</x:v>
      </x:c>
      <x:c r="F41" s="180" t="str">
        <x:v>westpharma.com</x:v>
      </x:c>
      <x:c r="G41" s="180" t="str">
        <x:v>Legal entity in the West source universe; product scope may be manufacturing, holding, sales or services</x:v>
      </x:c>
      <x:c r="H41" s="180" t="str">
        <x:v>Yes</x:v>
      </x:c>
      <x:c r="I41" s="180" t="str">
        <x:v>https://www.sec.gov/Archives/edgar/data/105770/000010577026000010/ex21listofsubsidiaries_2025.htm</x:v>
      </x:c>
      <x:c r="J41" s="186" t="str">
        <x:v>2025 Form 10-K Exhibit 21</x:v>
      </x:c>
    </x:row>
    <x:row r="42">
      <x:c r="A42" s="185" t="str">
        <x:v>sub-35</x:v>
      </x:c>
      <x:c r="B42" s="180" t="str">
        <x:v>West Pharmaceutical Services of Delaware, Inc.</x:v>
      </x:c>
      <x:c r="C42" s="180" t="str">
        <x:v>100%-owned subsidiary</x:v>
      </x:c>
      <x:c r="D42" s="217" t="n">
        <x:v>100</x:v>
      </x:c>
      <x:c r="E42" s="180" t="str">
        <x:v>Delaware</x:v>
      </x:c>
      <x:c r="F42" s="180" t="str">
        <x:v>westpharma.com</x:v>
      </x:c>
      <x:c r="G42" s="180" t="str">
        <x:v>Legal entity in the West source universe; product scope may be manufacturing, holding, sales or services</x:v>
      </x:c>
      <x:c r="H42" s="180" t="str">
        <x:v>Yes</x:v>
      </x:c>
      <x:c r="I42" s="180" t="str">
        <x:v>https://www.sec.gov/Archives/edgar/data/105770/000010577026000010/ex21listofsubsidiaries_2025.htm</x:v>
      </x:c>
      <x:c r="J42" s="186" t="str">
        <x:v>2025 Form 10-K Exhibit 21</x:v>
      </x:c>
    </x:row>
    <x:row r="43">
      <x:c r="A43" s="185" t="str">
        <x:v>sub-36</x:v>
      </x:c>
      <x:c r="B43" s="180" t="str">
        <x:v>West Pharmaceutical Services of Florida, Inc.</x:v>
      </x:c>
      <x:c r="C43" s="180" t="str">
        <x:v>100%-owned subsidiary</x:v>
      </x:c>
      <x:c r="D43" s="217" t="n">
        <x:v>100</x:v>
      </x:c>
      <x:c r="E43" s="180" t="str">
        <x:v>Florida</x:v>
      </x:c>
      <x:c r="F43" s="180" t="str">
        <x:v>westpharma.com</x:v>
      </x:c>
      <x:c r="G43" s="180" t="str">
        <x:v>Legal entity in the West source universe; product scope may be manufacturing, holding, sales or services</x:v>
      </x:c>
      <x:c r="H43" s="180" t="str">
        <x:v>Yes</x:v>
      </x:c>
      <x:c r="I43" s="180" t="str">
        <x:v>https://www.sec.gov/Archives/edgar/data/105770/000010577026000010/ex21listofsubsidiaries_2025.htm</x:v>
      </x:c>
      <x:c r="J43" s="186" t="str">
        <x:v>2025 Form 10-K Exhibit 21</x:v>
      </x:c>
    </x:row>
    <x:row r="44">
      <x:c r="A44" s="185" t="str">
        <x:v>sub-04</x:v>
      </x:c>
      <x:c r="B44" s="180" t="str">
        <x:v>West Services and Solutions, LLC</x:v>
      </x:c>
      <x:c r="C44" s="180" t="str">
        <x:v>100%-owned subsidiary</x:v>
      </x:c>
      <x:c r="D44" s="217" t="n">
        <x:v>100</x:v>
      </x:c>
      <x:c r="E44" s="180" t="str">
        <x:v>Delaware</x:v>
      </x:c>
      <x:c r="F44" s="180" t="str">
        <x:v>westpharma.com</x:v>
      </x:c>
      <x:c r="G44" s="180" t="str">
        <x:v>Legal entity in the West source universe; product scope may be manufacturing, holding, sales or services</x:v>
      </x:c>
      <x:c r="H44" s="180" t="str">
        <x:v>Yes</x:v>
      </x:c>
      <x:c r="I44" s="180" t="str">
        <x:v>https://www.sec.gov/Archives/edgar/data/105770/000010577026000010/ex21listofsubsidiaries_2025.htm</x:v>
      </x:c>
      <x:c r="J44" s="186" t="str">
        <x:v>2025 Form 10-K Exhibit 21</x:v>
      </x:c>
    </x:row>
    <x:row r="45">
      <x:c r="A45" s="185" t="str">
        <x:v>aff-daikyo</x:v>
      </x:c>
      <x:c r="B45" s="180" t="str">
        <x:v>Daikyo Seiko, Ltd.</x:v>
      </x:c>
      <x:c r="C45" s="180" t="str">
        <x:v>49%-owned affiliate</x:v>
      </x:c>
      <x:c r="D45" s="217" t="n">
        <x:v>49</x:v>
      </x:c>
      <x:c r="E45" s="180" t="str">
        <x:v>Japan</x:v>
      </x:c>
      <x:c r="F45" s="180" t="str">
        <x:v>daikyoseiko.jp</x:v>
      </x:c>
      <x:c r="G45" s="180" t="str">
        <x:v>Pharmaceutical and medical packaging; selected products licensed/distributed with West</x:v>
      </x:c>
      <x:c r="H45" s="180" t="str">
        <x:v>Yes</x:v>
      </x:c>
      <x:c r="I45" s="180" t="str">
        <x:v>https://www.westpharma.com/partners</x:v>
      </x:c>
      <x:c r="J45" s="186" t="str">
        <x:v>Equity-method affiliate; not a consolidated subsidiary</x:v>
      </x:c>
    </x:row>
    <x:row r="46">
      <x:c r="A46" s="185" t="str">
        <x:v>aff-west-mx</x:v>
      </x:c>
      <x:c r="B46" s="180" t="str">
        <x:v>The West Company Mexico, S.A. de C.V.</x:v>
      </x:c>
      <x:c r="C46" s="180" t="str">
        <x:v>49%-owned affiliate</x:v>
      </x:c>
      <x:c r="D46" s="217" t="n">
        <x:v>49</x:v>
      </x:c>
      <x:c r="E46" s="180" t="str">
        <x:v>Mexico</x:v>
      </x:c>
      <x:c r="F46" s="180" t="str">
        <x:v>westpharma.com</x:v>
      </x:c>
      <x:c r="G46" s="180" t="str">
        <x:v>West Mexico sales and manufacturing affiliate</x:v>
      </x:c>
      <x:c r="H46" s="180" t="str">
        <x:v>Yes</x:v>
      </x:c>
      <x:c r="I46" s="180" t="str">
        <x:v>https://www.westpharma.com/partners</x:v>
      </x:c>
      <x:c r="J46" s="186" t="str">
        <x:v>Equity-method affiliate; not a consolidated subsidiary</x:v>
      </x:c>
    </x:row>
    <x:row r="47">
      <x:c r="A47" s="185" t="str">
        <x:v>aff-aluplast</x:v>
      </x:c>
      <x:c r="B47" s="180" t="str">
        <x:v>Aluplast, S.A. de C.V.</x:v>
      </x:c>
      <x:c r="C47" s="180" t="str">
        <x:v>49%-owned affiliate through West Mexico</x:v>
      </x:c>
      <x:c r="D47" s="217" t="n">
        <x:v>49</x:v>
      </x:c>
      <x:c r="E47" s="180" t="str">
        <x:v>Mexico</x:v>
      </x:c>
      <x:c r="F47" s="180" t="str">
        <x:v>westpharma.com</x:v>
      </x:c>
      <x:c r="G47" s="180" t="str">
        <x:v>Aluminum seals, plastic containers, bottle caps and closures</x:v>
      </x:c>
      <x:c r="H47" s="180" t="str">
        <x:v>Yes</x:v>
      </x:c>
      <x:c r="I47" s="180" t="str">
        <x:v>https://www.westpharma.com/partners</x:v>
      </x:c>
      <x:c r="J47" s="186" t="str">
        <x:v>Equity-method affiliate; not a consolidated subsidiary</x:v>
      </x:c>
    </x:row>
    <x:row r="48">
      <x:c r="A48" s="185" t="str">
        <x:v>aff-pharmarubber</x:v>
      </x:c>
      <x:c r="B48" s="180" t="str">
        <x:v>Pharma Rubber, S.A. de C.V.</x:v>
      </x:c>
      <x:c r="C48" s="180" t="str">
        <x:v>49%-owned affiliate through West Mexico</x:v>
      </x:c>
      <x:c r="D48" s="217" t="n">
        <x:v>49</x:v>
      </x:c>
      <x:c r="E48" s="180" t="str">
        <x:v>Mexico</x:v>
      </x:c>
      <x:c r="F48" s="180" t="str">
        <x:v>westpharma.com</x:v>
      </x:c>
      <x:c r="G48" s="180" t="str">
        <x:v>Rubber sleeves and compression-molded rubber products</x:v>
      </x:c>
      <x:c r="H48" s="180" t="str">
        <x:v>Yes</x:v>
      </x:c>
      <x:c r="I48" s="180" t="str">
        <x:v>https://www.westpharma.com/global-locations</x:v>
      </x:c>
      <x:c r="J48" s="186" t="str">
        <x:v>Equity-method affiliate; not a consolidated subsidiary</x:v>
      </x:c>
    </x:row>
    <x:row r="49">
      <x:c r="A49" s="185" t="str">
        <x:v>aff-pharmatap</x:v>
      </x:c>
      <x:c r="B49" s="180" t="str">
        <x:v>Pharma Tap, S.A. de C.V.</x:v>
      </x:c>
      <x:c r="C49" s="180" t="str">
        <x:v>49%-owned affiliate through West Mexico</x:v>
      </x:c>
      <x:c r="D49" s="217" t="n">
        <x:v>49</x:v>
      </x:c>
      <x:c r="E49" s="180" t="str">
        <x:v>Mexico</x:v>
      </x:c>
      <x:c r="F49" s="180" t="str">
        <x:v>westpharma.com</x:v>
      </x:c>
      <x:c r="G49" s="180" t="str">
        <x:v>Serum/lyo stoppers, syringe plungers and sleeve stoppers</x:v>
      </x:c>
      <x:c r="H49" s="180" t="str">
        <x:v>Yes</x:v>
      </x:c>
      <x:c r="I49" s="180" t="str">
        <x:v>https://www.westpharma.com/partners</x:v>
      </x:c>
      <x:c r="J49" s="186" t="str">
        <x:v>Equity-method affiliate; not a consolidated subsidiary</x:v>
      </x:c>
    </x:row>
    <x:row r="50">
      <x:c r="A50" s="185" t="str">
        <x:v>legacy-techgroup</x:v>
      </x:c>
      <x:c r="B50" s="180" t="str">
        <x:v>The Tech Group, Inc.</x:v>
      </x:c>
      <x:c r="C50" s="180" t="str">
        <x:v>Legacy acquired brand/entity</x:v>
      </x:c>
      <x:c r="D50" s="217" t="n">
        <x:v>100</x:v>
      </x:c>
      <x:c r="E50" s="180" t="str">
        <x:v>Arizona</x:v>
      </x:c>
      <x:c r="F50" s="180" t="str"/>
      <x:c r="G50" s="180" t="str">
        <x:v>Custom injection molding and contract manufacturing; now West Vantage / Tech Group legal entities</x:v>
      </x:c>
      <x:c r="H50" s="180" t="str">
        <x:v>No</x:v>
      </x:c>
      <x:c r="I50" s="180" t="str">
        <x:v>https://www.sec.gov/Archives/edgar/data/105770/000010577026000010/wst-20251231.htm</x:v>
      </x:c>
      <x:c r="J50" s="186" t="str">
        <x:v>Keep as a search alias for regulatory, archive and distributor discovery</x:v>
      </x:c>
    </x:row>
    <x:row r="51">
      <x:c r="A51" s="185" t="str">
        <x:v>legacy-medimop</x:v>
      </x:c>
      <x:c r="B51" s="180" t="str">
        <x:v>Medimop Medical Projects Ltd.</x:v>
      </x:c>
      <x:c r="C51" s="180" t="str">
        <x:v>Legacy acquired/renamed entity</x:v>
      </x:c>
      <x:c r="D51" s="217" t="n">
        <x:v>100</x:v>
      </x:c>
      <x:c r="E51" s="180" t="str">
        <x:v>Israel</x:v>
      </x:c>
      <x:c r="F51" s="180" t="str">
        <x:v>medimop.com</x:v>
      </x:c>
      <x:c r="G51" s="180" t="str">
        <x:v>Vial transfer and drug-delivery devices; now West Pharma. Services IL, Ltd.</x:v>
      </x:c>
      <x:c r="H51" s="180" t="str">
        <x:v>No</x:v>
      </x:c>
      <x:c r="I51" s="180" t="str">
        <x:v>https://www.sec.gov/Archives/edgar/data/105770/000010577026000010/wst-20251231.htm</x:v>
      </x:c>
      <x:c r="J51" s="186" t="str">
        <x:v>Keep as a search alias for regulatory, archive and distributor discovery</x:v>
      </x:c>
    </x:row>
    <x:row r="52">
      <x:c r="A52" s="187" t="str">
        <x:v>west-parent</x:v>
      </x:c>
      <x:c r="B52" s="188" t="str">
        <x:v>West Pharmaceutical Services, Inc.</x:v>
      </x:c>
      <x:c r="C52" s="188" t="str">
        <x:v>Parent company</x:v>
      </x:c>
      <x:c r="D52" s="218" t="n">
        <x:v>100</x:v>
      </x:c>
      <x:c r="E52" s="188" t="str">
        <x:v>Pennsylvania</x:v>
      </x:c>
      <x:c r="F52" s="188" t="str">
        <x:v>westpharma.com</x:v>
      </x:c>
      <x:c r="G52" s="188" t="str">
        <x:v>Global proprietary products, integrated systems, services and consolidated subsidiaries</x:v>
      </x:c>
      <x:c r="H52" s="188" t="str">
        <x:v>Yes</x:v>
      </x:c>
      <x:c r="I52" s="188" t="str">
        <x:v>https://www.sec.gov/Archives/edgar/data/105770/000010577026000010/ex21listofsubsidiaries_2025.htm</x:v>
      </x:c>
      <x:c r="J52" s="189" t="str">
        <x:v>Parent company</x:v>
      </x:c>
    </x:row>
  </x:sheetData>
  <x:mergeCells>
    <x:mergeCell ref="A1:J1"/>
    <x:mergeCell ref="A2:J2"/>
  </x:mergeCells>
  <x:conditionalFormatting sqref="H5:H52">
    <x:cfRule type="expression" dxfId="5" priority="1">
      <x:formula>H5="No"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721e13a067543e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50" hidden="0" customWidth="1"/>
    <x:col min="4" max="4" width="53" hidden="0" customWidth="1"/>
    <x:col min="5" max="5" width="12" hidden="0" customWidth="1"/>
    <x:col min="6" max="6" width="29" hidden="0" customWidth="1"/>
    <x:col min="7" max="7" width="14" hidden="0" customWidth="1"/>
    <x:col min="8" max="8" width="20" hidden="0" customWidth="1"/>
    <x:col min="9" max="9" width="50" hidden="0" customWidth="1"/>
    <x:col min="10" max="10" width="48" hidden="0" customWidth="1"/>
  </x:cols>
  <x:sheetData>
    <x:row r="1" ht="30" customHeight="1">
      <x:c r="A1" s="222" t="str">
        <x:v>Coverage Gaps and Closure Plan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8" customHeight="1">
      <x:c r="A2" s="13" t="str">
        <x:v>These are the remaining steps required before calling the inventory complete at the material-number level.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>
      <x:c r="A4" s="121" t="str">
        <x:v>Gap ID</x:v>
      </x:c>
      <x:c r="B4" s="121" t="str">
        <x:v>Coverage Gap</x:v>
      </x:c>
      <x:c r="C4" s="121" t="str">
        <x:v>Why Public Sources Are Insufficient</x:v>
      </x:c>
      <x:c r="D4" s="121" t="str">
        <x:v>Required Source / Action</x:v>
      </x:c>
      <x:c r="E4" s="121" t="str">
        <x:v>Priority</x:v>
      </x:c>
      <x:c r="F4" s="121" t="str">
        <x:v>Owner</x:v>
      </x:c>
      <x:c r="G4" s="121" t="str">
        <x:v>Frequency</x:v>
      </x:c>
      <x:c r="H4" s="121" t="str">
        <x:v>Status</x:v>
      </x:c>
      <x:c r="I4" s="121" t="str">
        <x:v>Completion Test</x:v>
      </x:c>
      <x:c r="J4" s="121" t="str">
        <x:v>Notes</x:v>
      </x:c>
    </x:row>
    <x:row r="5">
      <x:c r="A5" s="182" t="str">
        <x:v>G01</x:v>
      </x:c>
      <x:c r="B5" s="183" t="str">
        <x:v>Complete West material-number master</x:v>
      </x:c>
      <x:c r="C5" s="183" t="str">
        <x:v>West explicitly says not all items are listed publicly.</x:v>
      </x:c>
      <x:c r="D5" s="183" t="str">
        <x:v>Obtain account-manager master material export and ingest it.</x:v>
      </x:c>
      <x:c r="E5" s="183" t="str">
        <x:v>Critical</x:v>
      </x:c>
      <x:c r="F5" s="183" t="str">
        <x:v>Research Ops / West account manager</x:v>
      </x:c>
      <x:c r="G5" s="183" t="str">
        <x:v>Quarterly</x:v>
      </x:c>
      <x:c r="H5" s="183" t="str">
        <x:v>Open</x:v>
      </x:c>
      <x:c r="I5" s="183" t="str">
        <x:v>All active material numbers reconcile to West export.</x:v>
      </x:c>
      <x:c r="J5" s="184" t="str">
        <x:v>No public workaround should be treated as equivalent.</x:v>
      </x:c>
    </x:row>
    <x:row r="6">
      <x:c r="A6" s="185" t="str">
        <x:v>G02</x:v>
      </x:c>
      <x:c r="B6" s="180" t="str">
        <x:v>Authenticated catalog and Knowledge Center</x:v>
      </x:c>
      <x:c r="C6" s="180" t="str">
        <x:v>Public store exposes only a selected subset and account availability varies.</x:v>
      </x:c>
      <x:c r="D6" s="180" t="str">
        <x:v>Run authenticated Playwright crawl with approved credentials and saved browser state.</x:v>
      </x:c>
      <x:c r="E6" s="180" t="str">
        <x:v>Critical</x:v>
      </x:c>
      <x:c r="F6" s="180" t="str">
        <x:v>Research Ops</x:v>
      </x:c>
      <x:c r="G6" s="180" t="str">
        <x:v>Monthly</x:v>
      </x:c>
      <x:c r="H6" s="180" t="str">
        <x:v>Open</x:v>
      </x:c>
      <x:c r="I6" s="180" t="str">
        <x:v>All search/export pages and material descriptions captured.</x:v>
      </x:c>
      <x:c r="J6" s="186" t="str">
        <x:v>Do not bypass MFA, CAPTCHA or access controls.</x:v>
      </x:c>
    </x:row>
    <x:row r="7">
      <x:c r="A7" s="185" t="str">
        <x:v>G03</x:v>
      </x:c>
      <x:c r="B7" s="180" t="str">
        <x:v>Custom West Vantage customer products</x:v>
      </x:c>
      <x:c r="C7" s="180" t="str">
        <x:v>Customer-owned components and devices may be confidential.</x:v>
      </x:c>
      <x:c r="D7" s="180" t="str">
        <x:v>Ingest permitted customer/vendor catalogs, POs, invoices and approved manufacturing disclosures.</x:v>
      </x:c>
      <x:c r="E7" s="180" t="str">
        <x:v>Critical</x:v>
      </x:c>
      <x:c r="F7" s="180" t="str">
        <x:v>Research Ops / Compliance</x:v>
      </x:c>
      <x:c r="G7" s="180" t="str">
        <x:v>Quarterly</x:v>
      </x:c>
      <x:c r="H7" s="180" t="str">
        <x:v>Open</x:v>
      </x:c>
      <x:c r="I7" s="180" t="str">
        <x:v>Known customer-owned product universe documented or explicitly marked confidential/unavailable.</x:v>
      </x:c>
      <x:c r="J7" s="186" t="str">
        <x:v>Public filings identify classes, not customer product names.</x:v>
      </x:c>
    </x:row>
    <x:row r="8">
      <x:c r="A8" s="185" t="str">
        <x:v>G04</x:v>
      </x:c>
      <x:c r="B8" s="180" t="str">
        <x:v>Daikyo dedicated product portal</x:v>
      </x:c>
      <x:c r="C8" s="180" t="str">
        <x:v>Separate Daikyo site may expose configurations not on West's site.</x:v>
      </x:c>
      <x:c r="D8" s="180" t="str">
        <x:v>Crawl daikyo-seiko.com and reconcile against West licensing/distribution scope.</x:v>
      </x:c>
      <x:c r="E8" s="180" t="str">
        <x:v>High</x:v>
      </x:c>
      <x:c r="F8" s="180" t="str">
        <x:v>Research Ops</x:v>
      </x:c>
      <x:c r="G8" s="180" t="str">
        <x:v>Monthly</x:v>
      </x:c>
      <x:c r="H8" s="180" t="str">
        <x:v>Partially addressed</x:v>
      </x:c>
      <x:c r="I8" s="180" t="str">
        <x:v>Every Daikyo page mapped to sold-by-West, Daikyo-only or uncertain.</x:v>
      </x:c>
      <x:c r="J8" s="186" t="str">
        <x:v>Current seed includes major Daikyo families/configurations.</x:v>
      </x:c>
    </x:row>
    <x:row r="9">
      <x:c r="A9" s="185" t="str">
        <x:v>G05</x:v>
      </x:c>
      <x:c r="B9" s="180" t="str">
        <x:v>Mexico affiliate item catalogs</x:v>
      </x:c>
      <x:c r="C9" s="180" t="str">
        <x:v>West pages identify families but no public material-number catalog.</x:v>
      </x:c>
      <x:c r="D9" s="180" t="str">
        <x:v>Request Aluplast, Pharma Tap and Pharma Rubber catalogs or country price lists.</x:v>
      </x:c>
      <x:c r="E9" s="180" t="str">
        <x:v>High</x:v>
      </x:c>
      <x:c r="F9" s="180" t="str">
        <x:v>Research Ops / regional sales</x:v>
      </x:c>
      <x:c r="G9" s="180" t="str">
        <x:v>Quarterly</x:v>
      </x:c>
      <x:c r="H9" s="180" t="str">
        <x:v>Open</x:v>
      </x:c>
      <x:c r="I9" s="180" t="str">
        <x:v>Affiliate item numbers, sizes and active status loaded.</x:v>
      </x:c>
      <x:c r="J9" s="186" t="str">
        <x:v>Most products are regionally sold.</x:v>
      </x:c>
    </x:row>
    <x:row r="10">
      <x:c r="A10" s="185" t="str">
        <x:v>G06</x:v>
      </x:c>
      <x:c r="B10" s="180" t="str">
        <x:v>Country-specific product catalogs</x:v>
      </x:c>
      <x:c r="C10" s="180" t="str">
        <x:v>Availability and approvals vary by region and language site.</x:v>
      </x:c>
      <x:c r="D10" s="180" t="str">
        <x:v>Crawl all West country/language product pages and compare canonical products.</x:v>
      </x:c>
      <x:c r="E10" s="180" t="str">
        <x:v>High</x:v>
      </x:c>
      <x:c r="F10" s="180" t="str">
        <x:v>Research Ops</x:v>
      </x:c>
      <x:c r="G10" s="180" t="str">
        <x:v>Monthly</x:v>
      </x:c>
      <x:c r="H10" s="180" t="str">
        <x:v>Open</x:v>
      </x:c>
      <x:c r="I10" s="180" t="str">
        <x:v>No unique regional product remains unmapped.</x:v>
      </x:c>
      <x:c r="J10" s="186" t="str">
        <x:v>Keep region and approval status separate from global active status.</x:v>
      </x:c>
    </x:row>
    <x:row r="11">
      <x:c r="A11" s="185" t="str">
        <x:v>G07</x:v>
      </x:c>
      <x:c r="B11" s="180" t="str">
        <x:v>Product PDFs, IFUs and technical sheets</x:v>
      </x:c>
      <x:c r="C11" s="180" t="str">
        <x:v>Item tables can exist in PDFs without indexed HTML pages.</x:v>
      </x:c>
      <x:c r="D11" s="180" t="str">
        <x:v>Discover and parse all product-media URLs; validate material numbers against context.</x:v>
      </x:c>
      <x:c r="E11" s="180" t="str">
        <x:v>High</x:v>
      </x:c>
      <x:c r="F11" s="180" t="str">
        <x:v>Research Ops</x:v>
      </x:c>
      <x:c r="G11" s="180" t="str">
        <x:v>Monthly</x:v>
      </x:c>
      <x:c r="H11" s="180" t="str">
        <x:v>Partially addressed</x:v>
      </x:c>
      <x:c r="I11" s="180" t="str">
        <x:v>All product PDFs hashed, parsed and linked to products.</x:v>
      </x:c>
      <x:c r="J11" s="186" t="str">
        <x:v>PDF number extraction requires review to avoid confusing drawing numbers with SKUs.</x:v>
      </x:c>
    </x:row>
    <x:row r="12">
      <x:c r="A12" s="185" t="str">
        <x:v>G08</x:v>
      </x:c>
      <x:c r="B12" s="180" t="str">
        <x:v>FDA / GUDID device variants</x:v>
      </x:c>
      <x:c r="C12" s="180" t="str">
        <x:v>Regulatory databases contain legacy and variant names not visible on current site.</x:v>
      </x:c>
      <x:c r="D12" s="180" t="str">
        <x:v>Query openFDA 510(k), AccessGUDID and device listings for all current/legacy entity aliases.</x:v>
      </x:c>
      <x:c r="E12" s="180" t="str">
        <x:v>Medium</x:v>
      </x:c>
      <x:c r="F12" s="180" t="str">
        <x:v>Research Ops</x:v>
      </x:c>
      <x:c r="G12" s="180" t="str">
        <x:v>Monthly</x:v>
      </x:c>
      <x:c r="H12" s="180" t="str">
        <x:v>Partially addressed</x:v>
      </x:c>
      <x:c r="I12" s="180" t="str">
        <x:v>Every external device record has a current commercial-status conclusion.</x:v>
      </x:c>
      <x:c r="J12" s="186" t="str">
        <x:v>Regulatory clearance alone does not prove current sales.</x:v>
      </x:c>
    </x:row>
    <x:row r="13">
      <x:c r="A13" s="185" t="str">
        <x:v>G09</x:v>
      </x:c>
      <x:c r="B13" s="180" t="str">
        <x:v>Legacy, discontinued and divested products</x:v>
      </x:c>
      <x:c r="C13" s="180" t="str">
        <x:v>Page deletion can reflect redesign, not commercial discontinuation.</x:v>
      </x:c>
      <x:c r="D13" s="180" t="str">
        <x:v>Use Wayback, investor releases, filings and direct confirmation.</x:v>
      </x:c>
      <x:c r="E13" s="180" t="str">
        <x:v>Medium</x:v>
      </x:c>
      <x:c r="F13" s="180" t="str">
        <x:v>Analyst</x:v>
      </x:c>
      <x:c r="G13" s="180" t="str">
        <x:v>Quarterly</x:v>
      </x:c>
      <x:c r="H13" s="180" t="str">
        <x:v>Partially addressed</x:v>
      </x:c>
      <x:c r="I13" s="180" t="str">
        <x:v>Every legacy row has effective date and evidence-backed status.</x:v>
      </x:c>
      <x:c r="J13" s="186" t="str">
        <x:v>SmartDose 3.5 and Vial2Bag DC are explicitly handled.</x:v>
      </x:c>
    </x:row>
    <x:row r="14">
      <x:c r="A14" s="185" t="str">
        <x:v>G10</x:v>
      </x:c>
      <x:c r="B14" s="180" t="str">
        <x:v>Contract-manufacturing rename and scope</x:v>
      </x:c>
      <x:c r="C14" s="180" t="str">
        <x:v>West Vantage replaced the segment name, while customer products remain opaque.</x:v>
      </x:c>
      <x:c r="D14" s="180" t="str">
        <x:v>Monitor segment pages, filings and facility pages for new capabilities or disclosed programs.</x:v>
      </x:c>
      <x:c r="E14" s="180" t="str">
        <x:v>Medium</x:v>
      </x:c>
      <x:c r="F14" s="180" t="str">
        <x:v>Analyst</x:v>
      </x:c>
      <x:c r="G14" s="180" t="str">
        <x:v>Quarterly</x:v>
      </x:c>
      <x:c r="H14" s="180" t="str">
        <x:v>Partially addressed</x:v>
      </x:c>
      <x:c r="I14" s="180" t="str">
        <x:v>Capabilities and disclosed product classes remain current.</x:v>
      </x:c>
      <x:c r="J14" s="186" t="str">
        <x:v>Do not infer customer identities from capability descriptions.</x:v>
      </x:c>
    </x:row>
    <x:row r="15">
      <x:c r="A15" s="185" t="str">
        <x:v>G11</x:v>
      </x:c>
      <x:c r="B15" s="180" t="str">
        <x:v>Prices and sold-to availability</x:v>
      </x:c>
      <x:c r="C15" s="180" t="str">
        <x:v>Store prices/availability may depend on account, region and sold-to.</x:v>
      </x:c>
      <x:c r="D15" s="180" t="str">
        <x:v>Track price and availability in a separate observation table by account/region.</x:v>
      </x:c>
      <x:c r="E15" s="180" t="str">
        <x:v>Medium</x:v>
      </x:c>
      <x:c r="F15" s="180" t="str">
        <x:v>Research Ops</x:v>
      </x:c>
      <x:c r="G15" s="180" t="str">
        <x:v>Monthly</x:v>
      </x:c>
      <x:c r="H15" s="180" t="str">
        <x:v>Open</x:v>
      </x:c>
      <x:c r="I15" s="180" t="str">
        <x:v>Same SKU can retain multiple account/region observations without overwriting.</x:v>
      </x:c>
      <x:c r="J15" s="186" t="str">
        <x:v>Price is intentionally not a core product identity field.</x:v>
      </x:c>
    </x:row>
    <x:row r="16">
      <x:c r="A16" s="187" t="str">
        <x:v>G12</x:v>
      </x:c>
      <x:c r="B16" s="188" t="str">
        <x:v>Distributor and secondary-market catalogs</x:v>
      </x:c>
      <x:c r="C16" s="188" t="str">
        <x:v>Some genuine products appear first in distributor or procurement documents.</x:v>
      </x:c>
      <x:c r="D16" s="188" t="str">
        <x:v>Ingest only source-verifiable distributor catalogs and reconcile to West material numbers.</x:v>
      </x:c>
      <x:c r="E16" s="188" t="str">
        <x:v>Low</x:v>
      </x:c>
      <x:c r="F16" s="188" t="str">
        <x:v>Research Ops</x:v>
      </x:c>
      <x:c r="G16" s="188" t="str">
        <x:v>Quarterly</x:v>
      </x:c>
      <x:c r="H16" s="188" t="str">
        <x:v>Open</x:v>
      </x:c>
      <x:c r="I16" s="188" t="str">
        <x:v>Every secondary-source item either matches West evidence or remains clearly unverified.</x:v>
      </x:c>
      <x:c r="J16" s="189" t="str">
        <x:v>Secondary sources cannot override official active status.</x:v>
      </x:c>
    </x:row>
  </x:sheetData>
  <x:mergeCells>
    <x:mergeCell ref="A1:J1"/>
    <x:mergeCell ref="A2:J2"/>
  </x:mergeCells>
  <x:conditionalFormatting sqref="E5:E16">
    <x:cfRule type="expression" dxfId="6" priority="1">
      <x:formula>E5="Critical"</x:formula>
    </x:cfRule>
  </x:conditionalFormatting>
  <x:conditionalFormatting sqref="H5:H16">
    <x:cfRule type="expression" dxfId="7" priority="2">
      <x:formula>H5="Open"</x:formula>
    </x:cfRule>
  </x:conditionalFormatting>
  <x:dataValidations count="2">
    <x:dataValidation type="list" sqref="H5:H16">
      <x:formula1>"Open,Partially addressed,Closed,Blocked"</x:formula1>
    </x:dataValidation>
    <x:dataValidation type="list" sqref="E5:E16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f475e7cfdb4d5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5" hidden="0" customWidth="1"/>
    <x:col min="3" max="3" width="60" hidden="0" customWidth="1"/>
    <x:col min="4" max="4" width="18" hidden="0" customWidth="1"/>
    <x:col min="5" max="5" width="35" hidden="0" customWidth="1"/>
    <x:col min="6" max="6" width="50" hidden="0" customWidth="1"/>
    <x:col min="7" max="7" width="50" hidden="0" customWidth="1"/>
    <x:col min="8" max="8" width="28" hidden="0" customWidth="1"/>
  </x:cols>
  <x:sheetData>
    <x:row r="1" ht="30" customHeight="1">
      <x:c r="A1" s="222" t="str">
        <x:v>Operating Runbook</x:v>
      </x:c>
      <x:c r="B1" s="5"/>
      <x:c r="C1" s="5"/>
      <x:c r="D1" s="5"/>
      <x:c r="E1" s="5"/>
      <x:c r="F1" s="5"/>
      <x:c r="G1" s="5"/>
      <x:c r="H1" s="5"/>
    </x:row>
    <x:row r="2" ht="38" customHeight="1">
      <x:c r="A2" s="13" t="str">
        <x:v>How to refresh, validate and interpret the tracker.</x:v>
      </x:c>
      <x:c r="B2" s="13"/>
      <x:c r="C2" s="13"/>
      <x:c r="D2" s="13"/>
      <x:c r="E2" s="13"/>
      <x:c r="F2" s="13"/>
      <x:c r="G2" s="13"/>
      <x:c r="H2" s="13"/>
    </x:row>
    <x:row r="4">
      <x:c r="A4" s="121" t="str">
        <x:v>Step</x:v>
      </x:c>
      <x:c r="B4" s="121" t="str">
        <x:v>Task</x:v>
      </x:c>
      <x:c r="C4" s="121" t="str">
        <x:v>Command / Action</x:v>
      </x:c>
      <x:c r="D4" s="121" t="str">
        <x:v>Cadence</x:v>
      </x:c>
      <x:c r="E4" s="121" t="str">
        <x:v>Output</x:v>
      </x:c>
      <x:c r="F4" s="121" t="str">
        <x:v>Review Rule</x:v>
      </x:c>
      <x:c r="G4" s="121" t="str">
        <x:v>Failure Handling</x:v>
      </x:c>
      <x:c r="H4" s="121" t="str">
        <x:v>Owner</x:v>
      </x:c>
    </x:row>
    <x:row r="5">
      <x:c r="A5" s="182" t="n">
        <x:v>1</x:v>
      </x:c>
      <x:c r="B5" s="183" t="str">
        <x:v>Initialize seed and database</x:v>
      </x:c>
      <x:c r="C5" s="183" t="str">
        <x:v>python run_tracker.py init</x:v>
      </x:c>
      <x:c r="D5" s="183" t="str">
        <x:v>Once / reset only</x:v>
      </x:c>
      <x:c r="E5" s="183" t="str">
        <x:v>SQLite database and CSV/JSON exports</x:v>
      </x:c>
      <x:c r="F5" s="183" t="str">
        <x:v>Confirm seed count and source registry.</x:v>
      </x:c>
      <x:c r="G5" s="183" t="str">
        <x:v>Do not overwrite a production database without backup.</x:v>
      </x:c>
      <x:c r="H5" s="184" t="str">
        <x:v>Research Ops</x:v>
      </x:c>
    </x:row>
    <x:row r="6">
      <x:c r="A6" s="185" t="n">
        <x:v>2</x:v>
      </x:c>
      <x:c r="B6" s="180" t="str">
        <x:v>Crawl official public product pages</x:v>
      </x:c>
      <x:c r="C6" s="180" t="str">
        <x:v>python run_tracker.py crawl-public --delay 1.25</x:v>
      </x:c>
      <x:c r="D6" s="180" t="str">
        <x:v>Weekly</x:v>
      </x:c>
      <x:c r="E6" s="180" t="str">
        <x:v>Product-page observations and crawl log</x:v>
      </x:c>
      <x:c r="F6" s="180" t="str">
        <x:v>Review new pages and failed URLs.</x:v>
      </x:c>
      <x:c r="G6" s="180" t="str">
        <x:v>Respect robots.txt; investigate repeated failures manually.</x:v>
      </x:c>
      <x:c r="H6" s="186" t="str">
        <x:v>Research Ops</x:v>
      </x:c>
    </x:row>
    <x:row r="7">
      <x:c r="A7" s="185" t="n">
        <x:v>3</x:v>
      </x:c>
      <x:c r="B7" s="180" t="str">
        <x:v>Crawl public online store</x:v>
      </x:c>
      <x:c r="C7" s="180" t="str">
        <x:v>python run_tracker.py crawl-store</x:v>
      </x:c>
      <x:c r="D7" s="180" t="str">
        <x:v>Weekly</x:v>
      </x:c>
      <x:c r="E7" s="180" t="str">
        <x:v>Public store SKU observations</x:v>
      </x:c>
      <x:c r="F7" s="180" t="str">
        <x:v>Validate item number and product-detail URL.</x:v>
      </x:c>
      <x:c r="G7" s="180" t="str">
        <x:v>A missing public listing is not immediate discontinuation.</x:v>
      </x:c>
      <x:c r="H7" s="186" t="str">
        <x:v>Research Ops</x:v>
      </x:c>
    </x:row>
    <x:row r="8">
      <x:c r="A8" s="185" t="n">
        <x:v>4</x:v>
      </x:c>
      <x:c r="B8" s="180" t="str">
        <x:v>Refresh authenticated catalog</x:v>
      </x:c>
      <x:c r="C8" s="180" t="str">
        <x:v>python scripts_login_west.py; then crawl-store --storage-state private/west_storage_state.json</x:v>
      </x:c>
      <x:c r="D8" s="180" t="str">
        <x:v>Monthly</x:v>
      </x:c>
      <x:c r="E8" s="180" t="str">
        <x:v>Authenticated material observations</x:v>
      </x:c>
      <x:c r="F8" s="180" t="str">
        <x:v>Keep browser-state file private and approved.</x:v>
      </x:c>
      <x:c r="G8" s="180" t="str">
        <x:v>Do not bypass authentication controls.</x:v>
      </x:c>
      <x:c r="H8" s="186" t="str">
        <x:v>Research Ops</x:v>
      </x:c>
    </x:row>
    <x:row r="9">
      <x:c r="A9" s="185" t="n">
        <x:v>5</x:v>
      </x:c>
      <x:c r="B9" s="180" t="str">
        <x:v>Query FDA device records</x:v>
      </x:c>
      <x:c r="C9" s="180" t="str">
        <x:v>python run_tracker.py crawl-fda</x:v>
      </x:c>
      <x:c r="D9" s="180" t="str">
        <x:v>Monthly</x:v>
      </x:c>
      <x:c r="E9" s="180" t="str">
        <x:v>Regulatory-discovered device records</x:v>
      </x:c>
      <x:c r="F9" s="180" t="str">
        <x:v>Separate regulatory clearance from active sales.</x:v>
      </x:c>
      <x:c r="G9" s="180" t="str">
        <x:v>Cross-check every unique device name against current West evidence.</x:v>
      </x:c>
      <x:c r="H9" s="186" t="str">
        <x:v>Research Ops</x:v>
      </x:c>
    </x:row>
    <x:row r="10">
      <x:c r="A10" s="185" t="n">
        <x:v>6</x:v>
      </x:c>
      <x:c r="B10" s="180" t="str">
        <x:v>Ingest master material export</x:v>
      </x:c>
      <x:c r="C10" s="180" t="str">
        <x:v>python run_tracker.py ingest &lt;file.csv&gt; --source-id account-manager-export</x:v>
      </x:c>
      <x:c r="D10" s="180" t="str">
        <x:v>Quarterly</x:v>
      </x:c>
      <x:c r="E10" s="180" t="str">
        <x:v>Control-source item master</x:v>
      </x:c>
      <x:c r="F10" s="180" t="str">
        <x:v>Reconcile counts and status to export effective date.</x:v>
      </x:c>
      <x:c r="G10" s="180" t="str">
        <x:v>Escalate missing fields; retain original file and hash.</x:v>
      </x:c>
      <x:c r="H10" s="186" t="str">
        <x:v>Research Ops / account manager</x:v>
      </x:c>
    </x:row>
    <x:row r="11">
      <x:c r="A11" s="185" t="n">
        <x:v>7</x:v>
      </x:c>
      <x:c r="B11" s="180" t="str">
        <x:v>Ingest PO, invoice or vendor catalog history</x:v>
      </x:c>
      <x:c r="C11" s="180" t="str">
        <x:v>Use template command, map fields, then ingest with a unique source ID.</x:v>
      </x:c>
      <x:c r="D11" s="180" t="str">
        <x:v>Monthly / quarterly</x:v>
      </x:c>
      <x:c r="E11" s="180" t="str">
        <x:v>Sold-but-not-public material numbers</x:v>
      </x:c>
      <x:c r="F11" s="180" t="str">
        <x:v>Do not infer global availability from one customer's order.</x:v>
      </x:c>
      <x:c r="G11" s="180" t="str">
        <x:v>Preserve account, region and dates in notes or extension table.</x:v>
      </x:c>
      <x:c r="H11" s="186" t="str">
        <x:v>Research Ops</x:v>
      </x:c>
    </x:row>
    <x:row r="12">
      <x:c r="A12" s="185" t="n">
        <x:v>8</x:v>
      </x:c>
      <x:c r="B12" s="180" t="str">
        <x:v>Review change queue</x:v>
      </x:c>
      <x:c r="C12" s="180" t="str">
        <x:v>Filter Change Log for Unreviewed.</x:v>
      </x:c>
      <x:c r="D12" s="180" t="str">
        <x:v>After every run</x:v>
      </x:c>
      <x:c r="E12" s="180" t="str">
        <x:v>Confirmed additions/modifications/removals</x:v>
      </x:c>
      <x:c r="F12" s="180" t="str">
        <x:v>Three consecutive misses are required before auto-removal.</x:v>
      </x:c>
      <x:c r="G12" s="180" t="str">
        <x:v>Classify website redesigns and source failures as false positives.</x:v>
      </x:c>
      <x:c r="H12" s="186" t="str">
        <x:v>Analyst</x:v>
      </x:c>
    </x:row>
    <x:row r="13">
      <x:c r="A13" s="185" t="n">
        <x:v>9</x:v>
      </x:c>
      <x:c r="B13" s="180" t="str">
        <x:v>Export analyst files</x:v>
      </x:c>
      <x:c r="C13" s="180" t="str">
        <x:v>python run_tracker.py export</x:v>
      </x:c>
      <x:c r="D13" s="180" t="str">
        <x:v>After approved run</x:v>
      </x:c>
      <x:c r="E13" s="180" t="str">
        <x:v>CSV and JSON extracts</x:v>
      </x:c>
      <x:c r="F13" s="180" t="str">
        <x:v>Snapshot ID and date must accompany distributed output.</x:v>
      </x:c>
      <x:c r="G13" s="180" t="str">
        <x:v>Do not distribute private authenticated artifacts outside permitted users.</x:v>
      </x:c>
      <x:c r="H13" s="186" t="str">
        <x:v>Research Ops</x:v>
      </x:c>
    </x:row>
    <x:row r="14">
      <x:c r="A14" s="187" t="n">
        <x:v>10</x:v>
      </x:c>
      <x:c r="B14" s="188" t="str">
        <x:v>Annual legal-entity refresh</x:v>
      </x:c>
      <x:c r="C14" s="188" t="str">
        <x:v>Update SEC 10-K and Exhibit 21 URLs in config/sources.json.</x:v>
      </x:c>
      <x:c r="D14" s="188" t="str">
        <x:v>Annual</x:v>
      </x:c>
      <x:c r="E14" s="188" t="str">
        <x:v>Updated subsidiary/affiliate map</x:v>
      </x:c>
      <x:c r="F14" s="188" t="str">
        <x:v>Add former names as legacy aliases rather than deleting them.</x:v>
      </x:c>
      <x:c r="G14" s="188" t="str">
        <x:v>Preserve historical entity mapping for FDA/archive discovery.</x:v>
      </x:c>
      <x:c r="H14" s="189" t="str">
        <x:v>Analyst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d4462d3732443d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54" hidden="0" customWidth="1"/>
    <x:col min="4" max="4" width="45" hidden="0" customWidth="1"/>
    <x:col min="5" max="5" width="58" hidden="0" customWidth="1"/>
  </x:cols>
  <x:sheetData>
    <x:row r="1" ht="30" customHeight="1">
      <x:c r="A1" s="222" t="str">
        <x:v>Data Dictionary</x:v>
      </x:c>
      <x:c r="B1" s="5"/>
      <x:c r="C1" s="5"/>
      <x:c r="D1" s="5"/>
      <x:c r="E1" s="5"/>
    </x:row>
    <x:row r="2" ht="38" customHeight="1">
      <x:c r="A2" s="13" t="str">
        <x:v>Core database/workbook fields and interpretation rules.</x:v>
      </x:c>
      <x:c r="B2" s="13"/>
      <x:c r="C2" s="13"/>
      <x:c r="D2" s="13"/>
      <x:c r="E2" s="13"/>
    </x:row>
    <x:row r="4">
      <x:c r="A4" s="121" t="str">
        <x:v>Field</x:v>
      </x:c>
      <x:c r="B4" s="121" t="str">
        <x:v>Table / Sheet</x:v>
      </x:c>
      <x:c r="C4" s="121" t="str">
        <x:v>Definition</x:v>
      </x:c>
      <x:c r="D4" s="121" t="str">
        <x:v>Allowed / Typical Values</x:v>
      </x:c>
      <x:c r="E4" s="121" t="str">
        <x:v>Key Interpretation Rule</x:v>
      </x:c>
    </x:row>
    <x:row r="5">
      <x:c r="A5" s="182" t="str">
        <x:v>product_key</x:v>
      </x:c>
      <x:c r="B5" s="183" t="str">
        <x:v>products / Product Universe</x:v>
      </x:c>
      <x:c r="C5" s="183" t="str">
        <x:v>Stable normalized identifier.</x:v>
      </x:c>
      <x:c r="D5" s="183" t="str">
        <x:v>sku:&lt;normalized item&gt;; url:&lt;hash&gt;; fp:&lt;hash&gt;</x:v>
      </x:c>
      <x:c r="E5" s="184" t="str">
        <x:v>West material number is the preferred key.</x:v>
      </x:c>
    </x:row>
    <x:row r="6">
      <x:c r="A6" s="185" t="str">
        <x:v>product_level</x:v>
      </x:c>
      <x:c r="B6" s="180" t="str">
        <x:v>products</x:v>
      </x:c>
      <x:c r="C6" s="180" t="str">
        <x:v>Granularity of the row.</x:v>
      </x:c>
      <x:c r="D6" s="180" t="str">
        <x:v>SKU; Family; Configuration; Regulatory record; Custom product class; Service</x:v>
      </x:c>
      <x:c r="E6" s="186" t="str">
        <x:v>Only SKU rows are exact public item-level observations.</x:v>
      </x:c>
    </x:row>
    <x:row r="7">
      <x:c r="A7" s="185" t="str">
        <x:v>item_number</x:v>
      </x:c>
      <x:c r="B7" s="180" t="str">
        <x:v>products</x:v>
      </x:c>
      <x:c r="C7" s="180" t="str">
        <x:v>West material/item number or clearly labeled regulatory/configuration identifier.</x:v>
      </x:c>
      <x:c r="D7" s="180" t="str">
        <x:v>Text</x:v>
      </x:c>
      <x:c r="E7" s="186" t="str">
        <x:v>Preserve leading zeroes and normalize punctuation for matching.</x:v>
      </x:c>
    </x:row>
    <x:row r="8">
      <x:c r="A8" s="185" t="str">
        <x:v>coverage_status</x:v>
      </x:c>
      <x:c r="B8" s="180" t="str">
        <x:v>products</x:v>
      </x:c>
      <x:c r="C8" s="180" t="str">
        <x:v>Evidence class and completeness meaning.</x:v>
      </x:c>
      <x:c r="D8" s="180" t="str">
        <x:v>Public family verified; Official PDF SKU verified; Public store SKU verified; etc.</x:v>
      </x:c>
      <x:c r="E8" s="186" t="str">
        <x:v>This field prevents family pages from being mistaken for a complete catalog.</x:v>
      </x:c>
    </x:row>
    <x:row r="9">
      <x:c r="A9" s="185" t="str">
        <x:v>current_status</x:v>
      </x:c>
      <x:c r="B9" s="180" t="str">
        <x:v>products</x:v>
      </x:c>
      <x:c r="C9" s="180" t="str">
        <x:v>Current commercial/source status conclusion.</x:v>
      </x:c>
      <x:c r="D9" s="180" t="str">
        <x:v>Active; Removed; Discontinued; Divested; Needs review</x:v>
      </x:c>
      <x:c r="E9" s="186" t="str">
        <x:v>A page disappearance alone is not proof of commercial discontinuation.</x:v>
      </x:c>
    </x:row>
    <x:row r="10">
      <x:c r="A10" s="185" t="str">
        <x:v>confidence</x:v>
      </x:c>
      <x:c r="B10" s="180" t="str">
        <x:v>products</x:v>
      </x:c>
      <x:c r="C10" s="180" t="str">
        <x:v>Confidence in row identity and interpretation.</x:v>
      </x:c>
      <x:c r="D10" s="180" t="str">
        <x:v>High; Medium; Low</x:v>
      </x:c>
      <x:c r="E10" s="186" t="str">
        <x:v>Confidence is evidence quality, not commercial importance.</x:v>
      </x:c>
    </x:row>
    <x:row r="11">
      <x:c r="A11" s="185" t="str">
        <x:v>source_url</x:v>
      </x:c>
      <x:c r="B11" s="180" t="str">
        <x:v>products</x:v>
      </x:c>
      <x:c r="C11" s="180" t="str">
        <x:v>Direct evidence URL.</x:v>
      </x:c>
      <x:c r="D11" s="180" t="str">
        <x:v>Plain-text URL</x:v>
      </x:c>
      <x:c r="E11" s="186" t="str">
        <x:v>Keep the most authoritative source and preserve secondary evidence in observations.</x:v>
      </x:c>
    </x:row>
    <x:row r="12">
      <x:c r="A12" s="185" t="str">
        <x:v>observations</x:v>
      </x:c>
      <x:c r="B12" s="180" t="str">
        <x:v>SQLite</x:v>
      </x:c>
      <x:c r="C12" s="180" t="str">
        <x:v>Source- and snapshot-specific raw normalized evidence.</x:v>
      </x:c>
      <x:c r="D12" s="180" t="str">
        <x:v>One row per snapshot/product/source</x:v>
      </x:c>
      <x:c r="E12" s="186" t="str">
        <x:v>Products master can update without losing prior evidence.</x:v>
      </x:c>
    </x:row>
    <x:row r="13">
      <x:c r="A13" s="185" t="str">
        <x:v>changes</x:v>
      </x:c>
      <x:c r="B13" s="180" t="str">
        <x:v>SQLite / Change Log</x:v>
      </x:c>
      <x:c r="C13" s="180" t="str">
        <x:v>Field-level comparison against previous observations.</x:v>
      </x:c>
      <x:c r="D13" s="180" t="str">
        <x:v>Added; Modified; Removed; Reappeared</x:v>
      </x:c>
      <x:c r="E13" s="186" t="str">
        <x:v>Review every removal and any material-number change.</x:v>
      </x:c>
    </x:row>
    <x:row r="14">
      <x:c r="A14" s="185" t="str">
        <x:v>consecutive_misses</x:v>
      </x:c>
      <x:c r="B14" s="180" t="str">
        <x:v>products</x:v>
      </x:c>
      <x:c r="C14" s="180" t="str">
        <x:v>Number of consecutive source runs where a product was not observed.</x:v>
      </x:c>
      <x:c r="D14" s="180" t="str">
        <x:v>Integer</x:v>
      </x:c>
      <x:c r="E14" s="186" t="str">
        <x:v>Default removal threshold is three misses.</x:v>
      </x:c>
    </x:row>
    <x:row r="15">
      <x:c r="A15" s="185" t="str">
        <x:v>relationship</x:v>
      </x:c>
      <x:c r="B15" s="180" t="str">
        <x:v>products / Entity Map</x:v>
      </x:c>
      <x:c r="C15" s="180" t="str">
        <x:v>Relationship between product entity and West.</x:v>
      </x:c>
      <x:c r="D15" s="180" t="str">
        <x:v>Parent; 100%-owned; 49%-owned affiliate; legacy</x:v>
      </x:c>
      <x:c r="E15" s="186" t="str">
        <x:v>Daikyo and Mexico entities are affiliates, not consolidated subsidiaries.</x:v>
      </x:c>
    </x:row>
    <x:row r="16">
      <x:c r="A16" s="185" t="str">
        <x:v>auth_required</x:v>
      </x:c>
      <x:c r="B16" s="180" t="str">
        <x:v>sources / Source Registry</x:v>
      </x:c>
      <x:c r="C16" s="180" t="str">
        <x:v>Whether ordinary public crawling is insufficient.</x:v>
      </x:c>
      <x:c r="D16" s="180" t="str">
        <x:v>Yes / No</x:v>
      </x:c>
      <x:c r="E16" s="186" t="str">
        <x:v>Authenticated sources must be used only with authorized access.</x:v>
      </x:c>
    </x:row>
    <x:row r="17">
      <x:c r="A17" s="185" t="str">
        <x:v>availability</x:v>
      </x:c>
      <x:c r="B17" s="180" t="str">
        <x:v>products</x:v>
      </x:c>
      <x:c r="C17" s="180" t="str">
        <x:v>Observed or stated availability qualifier.</x:v>
      </x:c>
      <x:c r="D17" s="180" t="str">
        <x:v>Contact West; public store; account dependent; regional</x:v>
      </x:c>
      <x:c r="E17" s="186" t="str">
        <x:v>Do not treat a global family page as proof of every regional configuration.</x:v>
      </x:c>
    </x:row>
    <x:row r="18">
      <x:c r="A18" s="185" t="str">
        <x:v>source_count</x:v>
      </x:c>
      <x:c r="B18" s="180" t="str">
        <x:v>products</x:v>
      </x:c>
      <x:c r="C18" s="180" t="str">
        <x:v>Count of times the normalized master row has been observed/updated.</x:v>
      </x:c>
      <x:c r="D18" s="180" t="str">
        <x:v>Integer</x:v>
      </x:c>
      <x:c r="E18" s="186" t="str">
        <x:v>This is not the number of independent sources in the current schema.</x:v>
      </x:c>
    </x:row>
    <x:row r="19">
      <x:c r="A19" s="187" t="str">
        <x:v>first_seen / last_seen</x:v>
      </x:c>
      <x:c r="B19" s="188" t="str">
        <x:v>products</x:v>
      </x:c>
      <x:c r="C19" s="188" t="str">
        <x:v>Tracker observation timestamps.</x:v>
      </x:c>
      <x:c r="D19" s="188" t="str">
        <x:v>ISO 8601 UTC</x:v>
      </x:c>
      <x:c r="E19" s="189" t="str">
        <x:v>These are tracker dates, not product launch/discontinuation dates.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b562f4275c9486f"/>
  </x:tableParts>
</x:worksheet>
</file>